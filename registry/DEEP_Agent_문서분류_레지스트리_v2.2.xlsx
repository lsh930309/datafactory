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sh930309/projects/dataFatory/registry/"/>
    </mc:Choice>
  </mc:AlternateContent>
  <xr:revisionPtr revIDLastSave="0" documentId="13_ncr:1_{68BD08CF-45D2-0D49-8161-DD7796FDF0C3}" xr6:coauthVersionLast="47" xr6:coauthVersionMax="47" xr10:uidLastSave="{00000000-0000-0000-0000-000000000000}"/>
  <bookViews>
    <workbookView xWindow="-21800" yWindow="-28200" windowWidth="51200" windowHeight="28200" tabRatio="500" activeTab="3" xr2:uid="{00000000-000D-0000-FFFF-FFFF00000000}"/>
  </bookViews>
  <sheets>
    <sheet name="0.안내" sheetId="1" r:id="rId1"/>
    <sheet name="1.문서마스터" sheetId="2" r:id="rId2"/>
    <sheet name="2.업무분류" sheetId="3" r:id="rId3"/>
    <sheet name="3.업무-문서매핑" sheetId="4" r:id="rId4"/>
    <sheet name="4.Facet범례" sheetId="5" r:id="rId5"/>
    <sheet name="5.검증룰사전" sheetId="6" r:id="rId6"/>
    <sheet name="6.문서매핑" sheetId="7" r:id="rId7"/>
  </sheets>
  <definedNames>
    <definedName name="_xlnm._FilterDatabase" localSheetId="1" hidden="1">'1.문서마스터'!$A$1:$O$97</definedName>
    <definedName name="_xlnm._FilterDatabase" localSheetId="2" hidden="1">'2.업무분류'!$A$1:$G$47</definedName>
    <definedName name="_xlnm._FilterDatabase" localSheetId="3" hidden="1">'3.업무-문서매핑'!$A$1:$F$188</definedName>
    <definedName name="_xlnm._FilterDatabase" localSheetId="6" hidden="1">'6.문서매핑'!$A$1:$F$97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3" l="1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<sst xmlns="http://schemas.openxmlformats.org/spreadsheetml/2006/main" count="3183" uniqueCount="828">
  <si>
    <t>DEEP Agent 문서 분류 레지스트리 — 데이터 대시보드</t>
  </si>
  <si>
    <t>Document Classification &amp; Workflow Binding Registry</t>
  </si>
  <si>
    <t>기준일 2026-06-09 · 스냅샷(마스터 갱신 시 _dashboard.py 재실행) · 범위 산업도메인 12 · 업무분류 53 · canonical 문서 154</t>
  </si>
  <si>
    <t>■ 핵심 지표</t>
  </si>
  <si>
    <t>총 canonical 문서</t>
  </si>
  <si>
    <t>업무-문서 바인딩</t>
  </si>
  <si>
    <t xml:space="preserve">  기존 등록 문서</t>
  </si>
  <si>
    <t>DEEP Agent 산출물</t>
  </si>
  <si>
    <t xml:space="preserve">  B인벤토리 추가</t>
  </si>
  <si>
    <t>검증룰 보유 문서</t>
  </si>
  <si>
    <t>산업도메인</t>
  </si>
  <si>
    <t>개인정보 포함 문서</t>
  </si>
  <si>
    <t>업무분류</t>
  </si>
  <si>
    <t>개인정보 미포함 문서</t>
  </si>
  <si>
    <t>■ 개인정보 포함여부</t>
  </si>
  <si>
    <t>항목</t>
  </si>
  <si>
    <t>건수</t>
  </si>
  <si>
    <t>비중</t>
  </si>
  <si>
    <t>포함</t>
  </si>
  <si>
    <t>미포함</t>
  </si>
  <si>
    <t>■ 민감도 분포</t>
  </si>
  <si>
    <t>공개</t>
  </si>
  <si>
    <t>금융정보</t>
  </si>
  <si>
    <t>개인정보(일반)</t>
  </si>
  <si>
    <t>개인정보(민감)</t>
  </si>
  <si>
    <t>의료정보</t>
  </si>
  <si>
    <t>■ 발급주체 분포</t>
  </si>
  <si>
    <t>정부/공공</t>
  </si>
  <si>
    <t>금융기관</t>
  </si>
  <si>
    <t>기업</t>
  </si>
  <si>
    <t>의료기관</t>
  </si>
  <si>
    <t>개인</t>
  </si>
  <si>
    <t>법원/공증</t>
  </si>
  <si>
    <t>보험기관</t>
  </si>
  <si>
    <t>■ 기능·장르 분포</t>
  </si>
  <si>
    <t>신청</t>
  </si>
  <si>
    <t>계약/약정</t>
  </si>
  <si>
    <t>증빙</t>
  </si>
  <si>
    <t>증명</t>
  </si>
  <si>
    <t>심사/평가</t>
  </si>
  <si>
    <t>보고</t>
  </si>
  <si>
    <t>의무기록</t>
  </si>
  <si>
    <t>행정/내부</t>
  </si>
  <si>
    <t>■ 구조유형 분포</t>
  </si>
  <si>
    <t>정형양식</t>
  </si>
  <si>
    <t>반정형</t>
  </si>
  <si>
    <t>비정형</t>
  </si>
  <si>
    <t>표중심</t>
  </si>
  <si>
    <t>이미지+표 혼합</t>
  </si>
  <si>
    <t>■ Modality 분포</t>
  </si>
  <si>
    <t>스캔이미지</t>
  </si>
  <si>
    <t>전자PDF</t>
  </si>
  <si>
    <t>HWP</t>
  </si>
  <si>
    <t>■ 산업도메인별 업무 수</t>
  </si>
  <si>
    <t>금융 - 은행 (여신·신용·외환)</t>
  </si>
  <si>
    <t>금융 - 증권·자산운용</t>
  </si>
  <si>
    <t>금융 - 카드·여신전문</t>
  </si>
  <si>
    <t>보험 (생명·손해)</t>
  </si>
  <si>
    <t>공공·행정 (B2G)</t>
  </si>
  <si>
    <t>의료·헬스케어</t>
  </si>
  <si>
    <t>제조·구매·SCM</t>
  </si>
  <si>
    <t>건설·부동산</t>
  </si>
  <si>
    <t>무역·물류</t>
  </si>
  <si>
    <t>법무·컴플라이언스</t>
  </si>
  <si>
    <t>회계·세무 (공통)</t>
  </si>
  <si>
    <t>인사·노무 (공통)</t>
  </si>
  <si>
    <t>■ 검증룰(VAL) 적용 빈도  ·  상세 정의는 5.검증룰사전 참조</t>
  </si>
  <si>
    <t>VAL-001 필수필드 누락</t>
  </si>
  <si>
    <t>VAL-002 날짜 형식 검증</t>
  </si>
  <si>
    <t>VAL-003 미래 발급일 금지</t>
  </si>
  <si>
    <t>VAL-004 금액 합계 검증</t>
  </si>
  <si>
    <t>VAL-005 사업자등록번호 형식</t>
  </si>
  <si>
    <t>VAL-006 계좌번호 형식</t>
  </si>
  <si>
    <t>VAL-007 주민번호 마스킹</t>
  </si>
  <si>
    <t>VAL-008 서명 존재 여부</t>
  </si>
  <si>
    <t>VAL-009 도장 또는 직인 존재 여부</t>
  </si>
  <si>
    <t>VAL-010 체크박스 필수동의</t>
  </si>
  <si>
    <t>VAL-011 문서 중복 탐지</t>
  </si>
  <si>
    <t>VAL-012 페이지 연속성</t>
  </si>
  <si>
    <t>VAL-013 QR 또는 바코드 검증</t>
  </si>
  <si>
    <t>VAL-014 Confidence Threshold</t>
  </si>
  <si>
    <t>VAL-015 S4 자동 의사결정 제한</t>
  </si>
  <si>
    <t>■ 설계 원칙 · 거버넌스</t>
  </si>
  <si>
    <t>3층 구조</t>
  </si>
  <si>
    <t>(1) 문서마스터 = 타입 온톨로지·베이스 스키마, (2) 업무분류 = 워크플로우 정의, (3) 업무-문서매핑 = 다대다 바인딩. 고객별 가변성은 매핑 층에만 둔다.</t>
  </si>
  <si>
    <t>Facet 5축</t>
  </si>
  <si>
    <t>발급주체 · 기능/장르 · 구조유형 · Modality · 민감도. 단일 트리가 아니라 직교하는 다축이며, 한 문서가 여러 값에 동시 귀속될 수 있다.</t>
  </si>
  <si>
    <t>개인정보·검증룰</t>
  </si>
  <si>
    <t>개인정보 포함여부는 포함/미포함 이분 플래그(민감도·B 개인정보등급 기준). 검증룰은 문서별 텍스트 + VAL 코드 병기이며 정의는 '5.검증룰사전'에 있다.</t>
  </si>
  <si>
    <t>산출물 표기</t>
  </si>
  <si>
    <t>문서명에 [산출물]이 붙은 4건(RPT-02·03·07·08)은 DEEP Agent가 입력을 받아 생성하는 결과물이다.</t>
  </si>
  <si>
    <t>B인벤토리 통합</t>
  </si>
  <si>
    <t>KRB- 접두 49건은 B(한국형 DU 체계)에서 추가된 후보 문서다. 발급주체·Modality는 추정값(비고 표기)이며, 업무 바인딩 전까지 참조업무수=0의 promotion 후보 상태다.</t>
  </si>
  <si>
    <t>거버넌스(중요)</t>
  </si>
  <si>
    <t>이 레지스트리는 오너가 없으면 6개월 안에 썩는다. canonical 마스터의 단일 소유자와, 꼬리 문서를 마스터로 승격하는 promotion 프로세스(등장 빈도 임계치)를 반드시 지정할 것.</t>
  </si>
  <si>
    <t>경계(중요)</t>
  </si>
  <si>
    <t>이 표의 크기는 포괄 가능한 설계 공간이지 커버리지 약속이 아니다. 폭 자체를 IR 지표로 쓰지 말 것. 진짜 KPI는 바인딩 중 몇 개가 재사용 product config로 전환되었는가이다.</t>
  </si>
  <si>
    <t>문서ID</t>
  </si>
  <si>
    <t>문서명</t>
  </si>
  <si>
    <t>발급주체</t>
  </si>
  <si>
    <t>기능/장르</t>
  </si>
  <si>
    <t>구조유형</t>
  </si>
  <si>
    <t>Modality</t>
  </si>
  <si>
    <t>민감도</t>
  </si>
  <si>
    <t>핵심 추출필드 (베이스 스키마)</t>
  </si>
  <si>
    <t>참조업무수</t>
  </si>
  <si>
    <t>비고</t>
  </si>
  <si>
    <t>개인정보 포함여부</t>
  </si>
  <si>
    <t>포함 개인정보(상세)</t>
  </si>
  <si>
    <t>검증룰(문서별)</t>
  </si>
  <si>
    <t>검증룰코드(VAL)</t>
  </si>
  <si>
    <t>작성방식</t>
  </si>
  <si>
    <t>ID-01</t>
  </si>
  <si>
    <t>사업자등록증</t>
  </si>
  <si>
    <t>사업자번호·상호·대표자·업태·종목·개업일</t>
  </si>
  <si>
    <t>다도메인 고재사용</t>
  </si>
  <si>
    <t>상호, 대표자, 사업자번호, 주소</t>
  </si>
  <si>
    <t>사업자번호 형식, 발급일 또는 등록일 유효성, 필수필드 누락, QR 또는 문서확인번호</t>
  </si>
  <si>
    <t>VAL-001, VAL-002, VAL-005, VAL-013</t>
  </si>
  <si>
    <t>인쇄</t>
  </si>
  <si>
    <t>ID-02</t>
  </si>
  <si>
    <t>법인등기부등본(등기사항전부증명서)</t>
  </si>
  <si>
    <t>법인등록번호·임원·자본금·목적·변경이력</t>
  </si>
  <si>
    <t>법인번호, 대표자, 주소, 임원정보</t>
  </si>
  <si>
    <t>법인번호 형식, 페이지 연속성, 발행일 유효성, 대표자 추출</t>
  </si>
  <si>
    <t>VAL-003, VAL-012</t>
  </si>
  <si>
    <t>ID-03</t>
  </si>
  <si>
    <t>주주명부</t>
  </si>
  <si>
    <t>주주명·지분율·주식수·취득일</t>
  </si>
  <si>
    <t>ID-04</t>
  </si>
  <si>
    <t>주민등록등본</t>
  </si>
  <si>
    <t>성명·주민번호·주소·세대구성</t>
  </si>
  <si>
    <t>성명, 주소, 세대구성, 주민등록번호 일부</t>
  </si>
  <si>
    <t>발급일 유효성, 문서번호, 필수필드, 직인 또는 확인번호</t>
  </si>
  <si>
    <t>VAL-001, VAL-002, VAL-003, VAL-009, VAL-011, VAL-013</t>
  </si>
  <si>
    <t>ID-05</t>
  </si>
  <si>
    <t>가족관계증명서</t>
  </si>
  <si>
    <t>본인·가족관계·생년월일</t>
  </si>
  <si>
    <t>성명, 가족관계, 생년월일</t>
  </si>
  <si>
    <t>ID-06</t>
  </si>
  <si>
    <t>신분증 사본(주민·면허·여권)</t>
  </si>
  <si>
    <t>성명·생년월일·발급일·진위확인</t>
  </si>
  <si>
    <t>성명, 주민등록번호, 주소, 사진, 생년월일, 면허번호, 여권번호, 국적</t>
  </si>
  <si>
    <t>식별번호 형식, 유효기간, 사진영역, 마스킹</t>
  </si>
  <si>
    <t>VAL-002, VAL-007</t>
  </si>
  <si>
    <t>ID-11</t>
  </si>
  <si>
    <t>실소유자 확인서(AML)</t>
  </si>
  <si>
    <t>실소유자·지분구조·확인근거</t>
  </si>
  <si>
    <t>수기</t>
  </si>
  <si>
    <t>ID-12</t>
  </si>
  <si>
    <t>자격증·면허증</t>
  </si>
  <si>
    <t>자격명·발급기관·번호·유효기간</t>
  </si>
  <si>
    <t>ID-13</t>
  </si>
  <si>
    <t>재직증명서</t>
  </si>
  <si>
    <t>성명·부서·직위·재직기간</t>
  </si>
  <si>
    <t>다도메인 재사용</t>
  </si>
  <si>
    <t>성명, 생년월일, 소속, 직위</t>
  </si>
  <si>
    <t>재직기간, 발급일, 직인 존재, 성명 일치</t>
  </si>
  <si>
    <t>VAL-002, VAL-009</t>
  </si>
  <si>
    <t>ID-14</t>
  </si>
  <si>
    <t>경력증명서</t>
  </si>
  <si>
    <t>성명·경력기간·담당업무</t>
  </si>
  <si>
    <t>성명, 경력기간, 직무</t>
  </si>
  <si>
    <t>FIN-01</t>
  </si>
  <si>
    <t>재무제표(재무상태표·손익계산서)</t>
  </si>
  <si>
    <t>자산·부채·자본·매출·영업이익·당기순이익</t>
  </si>
  <si>
    <t>FIN-02</t>
  </si>
  <si>
    <t>부가가치세 과세표준증명원</t>
  </si>
  <si>
    <t>과세기간·과세표준·매출액</t>
  </si>
  <si>
    <t>사업자번호, 매출금액</t>
  </si>
  <si>
    <t>FIN-03</t>
  </si>
  <si>
    <t>납세증명서(국세·지방세 완납)</t>
  </si>
  <si>
    <t>체납유무·발급일·유효기간</t>
  </si>
  <si>
    <t>납세자, 사업자번호, 유효기간, 주소</t>
  </si>
  <si>
    <t>FIN-04</t>
  </si>
  <si>
    <t>4대보험 가입증명원</t>
  </si>
  <si>
    <t>가입자수·가입일·사업장</t>
  </si>
  <si>
    <t>FIN-05</t>
  </si>
  <si>
    <t>근로소득 원천징수영수증</t>
  </si>
  <si>
    <t>총급여·결정세액·연도</t>
  </si>
  <si>
    <t>가계여신·HR 재사용</t>
  </si>
  <si>
    <t>성명, 주민번호 일부, 소득, 세액</t>
  </si>
  <si>
    <t>금액 합계, 주민번호 마스킹, 귀속연도, 회사정보</t>
  </si>
  <si>
    <t>VAL-004, VAL-007</t>
  </si>
  <si>
    <t>FIN-06</t>
  </si>
  <si>
    <t>소득금액증명원</t>
  </si>
  <si>
    <t>소득종류·소득금액·귀속연도</t>
  </si>
  <si>
    <t>성명, 사업자번호, 소득</t>
  </si>
  <si>
    <t>FIN-07</t>
  </si>
  <si>
    <t>거래실적·매출증빙</t>
  </si>
  <si>
    <t>거래처·거래액·기간</t>
  </si>
  <si>
    <t>FIN-08</t>
  </si>
  <si>
    <t>전자세금계산서</t>
  </si>
  <si>
    <t>공급가액·세액·공급자·공급받는자·작성일</t>
  </si>
  <si>
    <t>사업자번호, 금액, 거래처</t>
  </si>
  <si>
    <t>금액 합계, 사업자번호 형식, 승인번호, 작성일</t>
  </si>
  <si>
    <t>VAL-002, VAL-004, VAL-005</t>
  </si>
  <si>
    <t>FIN-09</t>
  </si>
  <si>
    <t>지출증빙(현금영수증·영수증)</t>
  </si>
  <si>
    <t>금액·가맹점·일자·항목</t>
  </si>
  <si>
    <t>가맹점, 금액, 카드 일부번호, 식별번호 일부, 상호, 날짜</t>
  </si>
  <si>
    <t>금액 합계, 승인번호, 결제일, 날짜</t>
  </si>
  <si>
    <t>VAL-002, VAL-004</t>
  </si>
  <si>
    <t>FIN-10</t>
  </si>
  <si>
    <t>통장 거래내역서</t>
  </si>
  <si>
    <t>거래일·적요·입출금·잔액</t>
  </si>
  <si>
    <t>계좌번호, 거래내역</t>
  </si>
  <si>
    <t>표 구조, 합계, 기간</t>
  </si>
  <si>
    <t>VAL-004</t>
  </si>
  <si>
    <t>FIN-11</t>
  </si>
  <si>
    <t>감사보고서·결산보고서</t>
  </si>
  <si>
    <t>감사의견·재무수치·주석</t>
  </si>
  <si>
    <t>FIN-13</t>
  </si>
  <si>
    <t>급여대장·임금명세서</t>
  </si>
  <si>
    <t>지급항목·공제항목·실지급액</t>
  </si>
  <si>
    <t>ACC·HR 재사용</t>
  </si>
  <si>
    <t>성명, 급여, 공제, 계좌 가능</t>
  </si>
  <si>
    <t>FIN-14</t>
  </si>
  <si>
    <t>법인세·소득세 신고서</t>
  </si>
  <si>
    <t>과세표준·산출세액·신고일</t>
  </si>
  <si>
    <t>APP-01</t>
  </si>
  <si>
    <t>여신신청서</t>
  </si>
  <si>
    <t>신청금액·자금용도·상환계획·담보</t>
  </si>
  <si>
    <t>성명, 소득, 계좌, 주소</t>
  </si>
  <si>
    <t>필수필드, 서명 존재, 첨부서류, 체크박스</t>
  </si>
  <si>
    <t>VAL-001, VAL-008, VAL-010</t>
  </si>
  <si>
    <t>APP-02</t>
  </si>
  <si>
    <t>여신거래약정서</t>
  </si>
  <si>
    <t>약정금액·금리·기한·특약</t>
  </si>
  <si>
    <t>APP-03</t>
  </si>
  <si>
    <t>보험청약서</t>
  </si>
  <si>
    <t>피보험자·담보·보험료·고지사항</t>
  </si>
  <si>
    <t>APP-04</t>
  </si>
  <si>
    <t>보험금청구서</t>
  </si>
  <si>
    <t>청구사유·청구금액·사고일·수익자</t>
  </si>
  <si>
    <t>피보험자, 사고정보, 계좌, 의료정보 가능</t>
  </si>
  <si>
    <t>서명 존재, 계좌번호 형식, 사고일 형식, 필수첨부, S4 검수</t>
  </si>
  <si>
    <t>VAL-001, VAL-006, VAL-008, VAL-015</t>
  </si>
  <si>
    <t>APP-05</t>
  </si>
  <si>
    <t>인허가·보조금 신청서</t>
  </si>
  <si>
    <t>신청항목·사업개요·신청액</t>
  </si>
  <si>
    <t>신청인, 사업자정보, 주소</t>
  </si>
  <si>
    <t>APP-06</t>
  </si>
  <si>
    <t>계약서(공공·민간)</t>
  </si>
  <si>
    <t>계약당사자·계약금액·기간·의무사항</t>
  </si>
  <si>
    <t>당사자, 금액, 담당자</t>
  </si>
  <si>
    <t>계약기간, 금액, 서명, 자동갱신 및 위험조항</t>
  </si>
  <si>
    <t>VAL-002, VAL-004, VAL-008</t>
  </si>
  <si>
    <t>APP-07</t>
  </si>
  <si>
    <t>근로계약서</t>
  </si>
  <si>
    <t>근로자·임금·근로시간·계약기간</t>
  </si>
  <si>
    <t>HR 재사용</t>
  </si>
  <si>
    <t>성명, 주소, 임금, 계좌 가능</t>
  </si>
  <si>
    <t>APP-08</t>
  </si>
  <si>
    <t>임대차계약서</t>
  </si>
  <si>
    <t>임대인·임차인·보증금·차임·기간</t>
  </si>
  <si>
    <t>임대인, 임차인, 주소, 보증금</t>
  </si>
  <si>
    <t>APP-09</t>
  </si>
  <si>
    <t>공급·구매계약서</t>
  </si>
  <si>
    <t>품목·단가·납기·결제조건</t>
  </si>
  <si>
    <t>MFG·TRD 재사용</t>
  </si>
  <si>
    <t>APP-10</t>
  </si>
  <si>
    <t>용역계약서</t>
  </si>
  <si>
    <t>용역범위·대가·기간·산출물</t>
  </si>
  <si>
    <t>APP-11</t>
  </si>
  <si>
    <t>비밀유지계약서(NDA)</t>
  </si>
  <si>
    <t>당사자·비밀정보범위·기간</t>
  </si>
  <si>
    <t>당사자, 담당자</t>
  </si>
  <si>
    <t>APP-12</t>
  </si>
  <si>
    <t>약관·상품설명서</t>
  </si>
  <si>
    <t>보장내용·면책·수수료·고지</t>
  </si>
  <si>
    <t>APP-13</t>
  </si>
  <si>
    <t>계좌개설신청서</t>
  </si>
  <si>
    <t>고객정보·계좌종류·실명확인</t>
  </si>
  <si>
    <t>성명, 연락처, 주소, 계좌정보</t>
  </si>
  <si>
    <t>필수필드, 서명 존재, 필수 체크박스, 손글씨 confidence</t>
  </si>
  <si>
    <t>VAL-001, VAL-008, VAL-010, VAL-014</t>
  </si>
  <si>
    <t>APP-14</t>
  </si>
  <si>
    <t>카드발급신청서</t>
  </si>
  <si>
    <t>신청인·소득·한도신청·동의</t>
  </si>
  <si>
    <t>CRD-01</t>
  </si>
  <si>
    <t>신용정보조회서(NICE·KCB)</t>
  </si>
  <si>
    <t>신용등급·연체이력·대출현황</t>
  </si>
  <si>
    <t>CRD-02</t>
  </si>
  <si>
    <t>기업신용등급평가서</t>
  </si>
  <si>
    <t>신용등급·재무·비재무 평가</t>
  </si>
  <si>
    <t>COL-01</t>
  </si>
  <si>
    <t>부동산등기부등본(등기사항전부증명서)</t>
  </si>
  <si>
    <t>소유자·면적·근저당·권리관계</t>
  </si>
  <si>
    <t>소유자, 주소, 권리관계</t>
  </si>
  <si>
    <t>COL-02</t>
  </si>
  <si>
    <t>감정평가서</t>
  </si>
  <si>
    <t>평가액·평가방법·물건개요</t>
  </si>
  <si>
    <t>COL-03</t>
  </si>
  <si>
    <t>토지대장·건축물대장</t>
  </si>
  <si>
    <t>지목·면적·용도·소유자</t>
  </si>
  <si>
    <t>소유자, 건축물 정보, 토지정보</t>
  </si>
  <si>
    <t>COL-05</t>
  </si>
  <si>
    <t>공시지가확인원</t>
  </si>
  <si>
    <t>공시지가·기준일·소재지</t>
  </si>
  <si>
    <t>RPT-01</t>
  </si>
  <si>
    <t>사업계획서·자금사용계획서</t>
  </si>
  <si>
    <t>사업개요·시장·재무계획·자금용도</t>
  </si>
  <si>
    <t>RPT-02</t>
  </si>
  <si>
    <t>여신 심사의견서 [산출물]</t>
  </si>
  <si>
    <t>심사의견·여신조건·리스크·결재</t>
  </si>
  <si>
    <t>RPT-03</t>
  </si>
  <si>
    <t>손해사정서 [산출물]</t>
  </si>
  <si>
    <t>손해액·과실비율·지급의견</t>
  </si>
  <si>
    <t>RPT-04</t>
  </si>
  <si>
    <t>정산보고서</t>
  </si>
  <si>
    <t>집행내역·증빙대사·잔액</t>
  </si>
  <si>
    <t>RPT-06</t>
  </si>
  <si>
    <t>타당성·시장조사 보고서</t>
  </si>
  <si>
    <t>시장규모·경쟁·전망·결론</t>
  </si>
  <si>
    <t>RPT-07</t>
  </si>
  <si>
    <t>내부 심사·결재 문서 [산출물]</t>
  </si>
  <si>
    <t>기안내용·검토의견·전결</t>
  </si>
  <si>
    <t>RPT-08</t>
  </si>
  <si>
    <t>컴플라이언스 점검보고서 [산출물]</t>
  </si>
  <si>
    <t>점검항목·적정여부·시정조치</t>
  </si>
  <si>
    <t>MED-01</t>
  </si>
  <si>
    <t>건강진단서·검진결과</t>
  </si>
  <si>
    <t>검사항목·결과수치·판정</t>
  </si>
  <si>
    <t>검진자, 검사결과, 민감정보</t>
  </si>
  <si>
    <t>진료일, 의사 서명, 병원 도장, 민감정보 접근권한</t>
  </si>
  <si>
    <t>VAL-002, VAL-008, VAL-009, VAL-015</t>
  </si>
  <si>
    <t>MED-02</t>
  </si>
  <si>
    <t>의무기록 사본</t>
  </si>
  <si>
    <t>진단명·경과·처치·투약</t>
  </si>
  <si>
    <t>보험 다업무 재사용</t>
  </si>
  <si>
    <t>MED-03</t>
  </si>
  <si>
    <t>진단서·소견서</t>
  </si>
  <si>
    <t>진단명·상병코드·치료기간·의사</t>
  </si>
  <si>
    <t>환자, 진단명, 질병코드, 진료내용, 의사소견</t>
  </si>
  <si>
    <t>의사 서명, 병원 도장, 날짜 형식, S4 human-in-the-loop, 진료일, 민감정보 접근권한</t>
  </si>
  <si>
    <t>MED-04</t>
  </si>
  <si>
    <t>진료비계산서·영수증</t>
  </si>
  <si>
    <t>급여·비급여·본인부담·총액</t>
  </si>
  <si>
    <t>환자, 진료일, 진료비, 진료항목, 금액</t>
  </si>
  <si>
    <t>금액 합계, 진료일 형식, 병원명, S4 권한, 표 구조, 합계, 기간</t>
  </si>
  <si>
    <t>VAL-002, VAL-004, VAL-015</t>
  </si>
  <si>
    <t>MED-05</t>
  </si>
  <si>
    <t>입퇴원확인서</t>
  </si>
  <si>
    <t>입원일·퇴원일·진단·병동</t>
  </si>
  <si>
    <t>환자, 입원기간, 병명 가능</t>
  </si>
  <si>
    <t>MED-06</t>
  </si>
  <si>
    <t>처방전·약제비영수증</t>
  </si>
  <si>
    <t>약품명·용량·조제일·금액</t>
  </si>
  <si>
    <t>환자, 의약품, 병원, 의사, 약국, 금액</t>
  </si>
  <si>
    <t>진료일, 의사 서명, 병원 도장, 민감정보 접근권한, 금액 합계, 승인번호, 날짜</t>
  </si>
  <si>
    <t>VAL-002, VAL-004, VAL-008, VAL-009, VAL-015</t>
  </si>
  <si>
    <t>MED-07</t>
  </si>
  <si>
    <t>사망진단서·사체검안서</t>
  </si>
  <si>
    <t>사망원인·사망일시·발급의</t>
  </si>
  <si>
    <t>MED-08</t>
  </si>
  <si>
    <t>수술기록지</t>
  </si>
  <si>
    <t>수술명·수술일·집도의·소견</t>
  </si>
  <si>
    <t>환자, 수술명, 수술일</t>
  </si>
  <si>
    <t>MED-09</t>
  </si>
  <si>
    <t>검사결과지(영상·병리)</t>
  </si>
  <si>
    <t>검사종류·판독소견·일자</t>
  </si>
  <si>
    <t>INC-01</t>
  </si>
  <si>
    <t>사고사실확인원·교통사고사실확인원</t>
  </si>
  <si>
    <t>사고일시·장소·당사자·개요</t>
  </si>
  <si>
    <t>INC-02</t>
  </si>
  <si>
    <t>교통사고조사서·경찰자료</t>
  </si>
  <si>
    <t>사고경위·과실·진술</t>
  </si>
  <si>
    <t>INC-03</t>
  </si>
  <si>
    <t>사고현장 사진·증빙</t>
  </si>
  <si>
    <t>손상부위·현장상황</t>
  </si>
  <si>
    <t>INC-04</t>
  </si>
  <si>
    <t>수리견적서</t>
  </si>
  <si>
    <t>수리항목·부품·공임·총액</t>
  </si>
  <si>
    <t>거래처, 금액, 품목</t>
  </si>
  <si>
    <t>금액 합계, 유효기간, 품목표 추출</t>
  </si>
  <si>
    <t>ADM-01</t>
  </si>
  <si>
    <t>회의록(이사회·주총)</t>
  </si>
  <si>
    <t>안건·결의사항·참석자·일자</t>
  </si>
  <si>
    <t>참석자, 담당자</t>
  </si>
  <si>
    <t>표 추출, 요약, 첨부목록, 후속조치</t>
  </si>
  <si>
    <t>VAL-001</t>
  </si>
  <si>
    <t>ADM-02</t>
  </si>
  <si>
    <t>결재·전결 문서</t>
  </si>
  <si>
    <t>기안·검토·승인·전결권자</t>
  </si>
  <si>
    <t>ADM-03</t>
  </si>
  <si>
    <t>입찰제안서(RFP 대응)</t>
  </si>
  <si>
    <t>제안내용·가격·수행계획·인력</t>
  </si>
  <si>
    <t>ADM-04</t>
  </si>
  <si>
    <t>산출내역서·견적서</t>
  </si>
  <si>
    <t>항목·수량·단가·합계</t>
  </si>
  <si>
    <t>ADM-05</t>
  </si>
  <si>
    <t>기안문</t>
  </si>
  <si>
    <t>제목·본문·붙임·기안자</t>
  </si>
  <si>
    <t>ADM-06</t>
  </si>
  <si>
    <t>시행문·공문(HWP)</t>
  </si>
  <si>
    <t>수신·제목·본문·시행일</t>
  </si>
  <si>
    <t>공공 고재사용</t>
  </si>
  <si>
    <t>담당자, 기관정보 가능, 기관정보</t>
  </si>
  <si>
    <t>시행번호, 날짜, 첨부목록, 발신기관</t>
  </si>
  <si>
    <t>VAL-001, VAL-002</t>
  </si>
  <si>
    <t>ADM-07</t>
  </si>
  <si>
    <t>품의서·지출결의서</t>
  </si>
  <si>
    <t>품의사유·금액·계정·승인</t>
  </si>
  <si>
    <t>TRD-01</t>
  </si>
  <si>
    <t>상업송장(Commercial Invoice)</t>
  </si>
  <si>
    <t>품목·수량·단가·금액·거래조건</t>
  </si>
  <si>
    <t>거래처, 품목, 금액</t>
  </si>
  <si>
    <t>금액 합계, 통화, Invoice No, 영문명 유지</t>
  </si>
  <si>
    <t>TRD-02</t>
  </si>
  <si>
    <t>포장명세서(Packing List)</t>
  </si>
  <si>
    <t>포장단위·중량·수량·부피</t>
  </si>
  <si>
    <t>거래처, 품목, 중량</t>
  </si>
  <si>
    <t>수량 합계, 중량 합계, 품목명 매핑</t>
  </si>
  <si>
    <t>TRD-03</t>
  </si>
  <si>
    <t>선하증권(B/L)·항공운송장(AWB)</t>
  </si>
  <si>
    <t>송하인·수하인·물품·운송조건</t>
  </si>
  <si>
    <t>거래처, 운송정보</t>
  </si>
  <si>
    <t>B/L 번호, 항구명, 날짜, 선적정보</t>
  </si>
  <si>
    <t>VAL-002</t>
  </si>
  <si>
    <t>TRD-04</t>
  </si>
  <si>
    <t>신용장(L/C)</t>
  </si>
  <si>
    <t>개설은행·금액·선적조건·서류조건</t>
  </si>
  <si>
    <t>TRD-05</t>
  </si>
  <si>
    <t>수출입신고필증</t>
  </si>
  <si>
    <t>신고번호·품목·세번·과세가격</t>
  </si>
  <si>
    <t>수입자, 품목, 세액, 수출자, 금액</t>
  </si>
  <si>
    <t>신고번호, 관할기관, 유효기간</t>
  </si>
  <si>
    <t>TRD-06</t>
  </si>
  <si>
    <t>원산지증명서(C/O)</t>
  </si>
  <si>
    <t>원산지·품목·HS코드·발급기관</t>
  </si>
  <si>
    <t>수출자, 수입자, 원산지</t>
  </si>
  <si>
    <t>수량 합계, 중량 합계, 통화, HS Code, 운송번호</t>
  </si>
  <si>
    <t>TRD-07</t>
  </si>
  <si>
    <t>발주서(PO)·거래명세서</t>
  </si>
  <si>
    <t>발주번호·품목·수량·납기</t>
  </si>
  <si>
    <t>MFG 재사용</t>
  </si>
  <si>
    <t>거래처, 품목, 납기, 금액</t>
  </si>
  <si>
    <t>금액 합계, 사업자번호, 승인번호, 중복검사, 품목별 합계, 금액 형식, 거래처명, 날짜 형식</t>
  </si>
  <si>
    <t>VAL-002, VAL-004, VAL-005, VAL-011</t>
  </si>
  <si>
    <t>LGL-01</t>
  </si>
  <si>
    <t>소장·답변서</t>
  </si>
  <si>
    <t>청구취지·청구원인·당사자</t>
  </si>
  <si>
    <t>LGL-02</t>
  </si>
  <si>
    <t>판결문·결정문</t>
  </si>
  <si>
    <t>주문·이유·사건번호·법원</t>
  </si>
  <si>
    <t>LGL-03</t>
  </si>
  <si>
    <t>내용증명</t>
  </si>
  <si>
    <t>발신·수신·요지·일자</t>
  </si>
  <si>
    <t>성명, 주소, 청구내용</t>
  </si>
  <si>
    <t>LGL-04</t>
  </si>
  <si>
    <t>개인정보 처리방침·동의서</t>
  </si>
  <si>
    <t>수집항목·이용목적·보유기간·동의</t>
  </si>
  <si>
    <t>성명, 연락처, 동의항목</t>
  </si>
  <si>
    <t>필수동의, 선택동의, 서명, 보유기간 명시</t>
  </si>
  <si>
    <t>VAL-008, VAL-010</t>
  </si>
  <si>
    <t>LGL-05</t>
  </si>
  <si>
    <t>사규·내규 문서</t>
  </si>
  <si>
    <t>규정명·조항·적용범위</t>
  </si>
  <si>
    <t>HR-01</t>
  </si>
  <si>
    <t>이력서·입사지원서</t>
  </si>
  <si>
    <t>인적사항·학력·경력·자기소개</t>
  </si>
  <si>
    <t>HR-02</t>
  </si>
  <si>
    <t>인사기록카드</t>
  </si>
  <si>
    <t>발령이력·평가·교육·상벌</t>
  </si>
  <si>
    <t>HR-03</t>
  </si>
  <si>
    <t>근태기록·출근부</t>
  </si>
  <si>
    <t>출퇴근·연장·휴가·결근</t>
  </si>
  <si>
    <t>HR-04</t>
  </si>
  <si>
    <t>인사평가서</t>
  </si>
  <si>
    <t>평가항목·점수·등급·코멘트</t>
  </si>
  <si>
    <t>SEC-01</t>
  </si>
  <si>
    <t>투자설명서·증권신고서</t>
  </si>
  <si>
    <t>발행조건·위험요소·재무·사업</t>
  </si>
  <si>
    <t>SEC-02</t>
  </si>
  <si>
    <t>펀드 운용보고서</t>
  </si>
  <si>
    <t>운용성과·자산구성·보수</t>
  </si>
  <si>
    <t>SEC-03</t>
  </si>
  <si>
    <t>투자성향·적합성 설문</t>
  </si>
  <si>
    <t>위험감내·투자목적·기간</t>
  </si>
  <si>
    <t>SEC-04</t>
  </si>
  <si>
    <t>예탁·잔고 증명</t>
  </si>
  <si>
    <t>종목·수량·평가액·기준일</t>
  </si>
  <si>
    <t>계좌번호, 잔액</t>
  </si>
  <si>
    <t>CON-01</t>
  </si>
  <si>
    <t>설계도면</t>
  </si>
  <si>
    <t>도면번호·축척·범례·치수</t>
  </si>
  <si>
    <t>CON-02</t>
  </si>
  <si>
    <t>시방서</t>
  </si>
  <si>
    <t>공종·자재·시공기준</t>
  </si>
  <si>
    <t>CON-03</t>
  </si>
  <si>
    <t>감리보고서</t>
  </si>
  <si>
    <t>검측결과·지적사항·조치</t>
  </si>
  <si>
    <t>CON-04</t>
  </si>
  <si>
    <t>준공·사용승인 서류</t>
  </si>
  <si>
    <t>준공일·승인번호·검사결과</t>
  </si>
  <si>
    <t>QC-01</t>
  </si>
  <si>
    <t>품질·시험성적서</t>
  </si>
  <si>
    <t>시험항목·기준·결과·판정</t>
  </si>
  <si>
    <t>QC-02</t>
  </si>
  <si>
    <t>입고·검수 보고서</t>
  </si>
  <si>
    <t>품목·수량·검수결과·불량</t>
  </si>
  <si>
    <t>업무ID</t>
  </si>
  <si>
    <t>업무명</t>
  </si>
  <si>
    <t>업무 설명</t>
  </si>
  <si>
    <t>산출물ID</t>
  </si>
  <si>
    <t>입력문서 수</t>
  </si>
  <si>
    <t>필수 입력문서 수</t>
  </si>
  <si>
    <t>BANK-01</t>
  </si>
  <si>
    <t>기업여신 심사</t>
  </si>
  <si>
    <t>기업 대출 신청에 대한 재무·신용·담보 종합 심사</t>
  </si>
  <si>
    <t>BANK-02</t>
  </si>
  <si>
    <t>가계여신 심사</t>
  </si>
  <si>
    <t>개인 대출 신청에 대한 소득·신용 심사</t>
  </si>
  <si>
    <t>BANK-04</t>
  </si>
  <si>
    <t>담보평가</t>
  </si>
  <si>
    <t>부동산·자산 담보가치 산정 및 권리 확인</t>
  </si>
  <si>
    <t>-</t>
  </si>
  <si>
    <t>BANK-05</t>
  </si>
  <si>
    <t>KYC·AML 고객확인</t>
  </si>
  <si>
    <t>고객확인 및 실소유자 검증</t>
  </si>
  <si>
    <t>BANK-07</t>
  </si>
  <si>
    <t>여신 사후관리·모니터링</t>
  </si>
  <si>
    <t>약정 이후 거래·재무 변동 모니터링</t>
  </si>
  <si>
    <t>SEC-T1</t>
  </si>
  <si>
    <t>투자상품 적합성·적정성 점검</t>
  </si>
  <si>
    <t>투자자 성향과 상품 위험도 매칭 검증</t>
  </si>
  <si>
    <t>SEC-T3</t>
  </si>
  <si>
    <t>IB 실사(due diligence) 문서검토</t>
  </si>
  <si>
    <t>투자 대상 재무·법무 실사 자료 검토</t>
  </si>
  <si>
    <t>CARD-01</t>
  </si>
  <si>
    <t>카드 발급심사</t>
  </si>
  <si>
    <t>카드 발급 신청 소득·신용 심사</t>
  </si>
  <si>
    <t>INS-01</t>
  </si>
  <si>
    <t>인수심사(Underwriting)</t>
  </si>
  <si>
    <t>청약 위험 평가 및 인수 여부 결정</t>
  </si>
  <si>
    <t>INS-02</t>
  </si>
  <si>
    <t>보험금청구 심사(Claims)</t>
  </si>
  <si>
    <t>청구 서류 검증 및 지급 심사</t>
  </si>
  <si>
    <t>INS-03</t>
  </si>
  <si>
    <t>손해사정</t>
  </si>
  <si>
    <t>손해액 산정 및 과실 평가</t>
  </si>
  <si>
    <t>INS-04</t>
  </si>
  <si>
    <t>사망·장해 보험금 심사</t>
  </si>
  <si>
    <t>사망·장해 청구의 인과 및 지급 심사</t>
  </si>
  <si>
    <t>INS-05</t>
  </si>
  <si>
    <t>보험사기 탐지(SIU) 보조</t>
  </si>
  <si>
    <t>이상 청구 패턴 및 문서 정합성 점검</t>
  </si>
  <si>
    <t>GOV-01</t>
  </si>
  <si>
    <t>인허가 심사</t>
  </si>
  <si>
    <t>인허가 신청 서류 검토 및 적합성 판단</t>
  </si>
  <si>
    <t>GOV-02</t>
  </si>
  <si>
    <t>보조금·지원금 심사</t>
  </si>
  <si>
    <t>지원사업 신청 적격성 및 평가</t>
  </si>
  <si>
    <t>GOV-03</t>
  </si>
  <si>
    <t>보조금 정산 검토</t>
  </si>
  <si>
    <t>집행 증빙과 정산보고서 대사</t>
  </si>
  <si>
    <t>GOV-04</t>
  </si>
  <si>
    <t>조달·입찰 평가</t>
  </si>
  <si>
    <t>입찰 제안서 평가 및 적격성 심사</t>
  </si>
  <si>
    <t>GOV-05</t>
  </si>
  <si>
    <t>계약 관리</t>
  </si>
  <si>
    <t>계약 체결·이행 문서 관리</t>
  </si>
  <si>
    <t>GOV-06</t>
  </si>
  <si>
    <t>기록물 분류·관리(BRM 연계)</t>
  </si>
  <si>
    <t>공문서 기능분류 및 보존기준 매핑</t>
  </si>
  <si>
    <t>GOV-07</t>
  </si>
  <si>
    <t>민원 접수·처리</t>
  </si>
  <si>
    <t>민원 문서 분류 및 처리 라우팅</t>
  </si>
  <si>
    <t>HC-01</t>
  </si>
  <si>
    <t>보험청구용 의무기록 발급·검증</t>
  </si>
  <si>
    <t>청구용 의무기록 정합성 검증</t>
  </si>
  <si>
    <t>HC-02</t>
  </si>
  <si>
    <t>진료비 심사(심평원 대응)</t>
  </si>
  <si>
    <t>급여·비급여 항목 적정성 검토</t>
  </si>
  <si>
    <t>HC-03</t>
  </si>
  <si>
    <t>검진결과 처리</t>
  </si>
  <si>
    <t>건강검진 결과 추출 및 판정 관리</t>
  </si>
  <si>
    <t>MFG-01</t>
  </si>
  <si>
    <t>구매·발주 처리</t>
  </si>
  <si>
    <t>발주서 생성 및 계약 대사</t>
  </si>
  <si>
    <t>MFG-02</t>
  </si>
  <si>
    <t>입고검수·품질검사</t>
  </si>
  <si>
    <t>입고 자재 검수 및 성적서 검증</t>
  </si>
  <si>
    <t>MFG-03</t>
  </si>
  <si>
    <t>공급사 등록·평가</t>
  </si>
  <si>
    <t>신규 공급사 적격 심사</t>
  </si>
  <si>
    <t>MFG-04</t>
  </si>
  <si>
    <t>수출입·통관 서류처리</t>
  </si>
  <si>
    <t>통관 서류 정합성 검증</t>
  </si>
  <si>
    <t>CON-T1</t>
  </si>
  <si>
    <t>설계·시공 도서 관리</t>
  </si>
  <si>
    <t>설계도면·시방서 추출 및 버전관리</t>
  </si>
  <si>
    <t>CON-T2</t>
  </si>
  <si>
    <t>감리·준공 검토</t>
  </si>
  <si>
    <t>감리 지적 및 준공 서류 검토</t>
  </si>
  <si>
    <t>CON-T3</t>
  </si>
  <si>
    <t>부동산 거래·등기 처리</t>
  </si>
  <si>
    <t>권리관계 확인 및 거래 검증</t>
  </si>
  <si>
    <t>CON-T4</t>
  </si>
  <si>
    <t>임대차 계약 관리</t>
  </si>
  <si>
    <t>임대차 계약 조건 추출 및 관리</t>
  </si>
  <si>
    <t>TRD-T1</t>
  </si>
  <si>
    <t>수출입 통관 처리</t>
  </si>
  <si>
    <t>통관 신고 및 필증 검증</t>
  </si>
  <si>
    <t>TRD-T2</t>
  </si>
  <si>
    <t>무역서류 검증(L/C 매칭)</t>
  </si>
  <si>
    <t>신용장 조건과 선적서류 정합 검증</t>
  </si>
  <si>
    <t>TRD-T3</t>
  </si>
  <si>
    <t>운송·물류 정산</t>
  </si>
  <si>
    <t>운송장 기반 정산 처리</t>
  </si>
  <si>
    <t>LAW-01</t>
  </si>
  <si>
    <t>계약서 검토·리스크 추출</t>
  </si>
  <si>
    <t>계약 조항 리스크 식별 및 비교</t>
  </si>
  <si>
    <t>LAW-02</t>
  </si>
  <si>
    <t>소송·분쟁 문서관리</t>
  </si>
  <si>
    <t>소송 문서 분류 및 쟁점 정리</t>
  </si>
  <si>
    <t>LAW-03</t>
  </si>
  <si>
    <t>규제·내규 컴플라이언스 점검</t>
  </si>
  <si>
    <t>내규와 규제 정합성 점검</t>
  </si>
  <si>
    <t>LAW-04</t>
  </si>
  <si>
    <t>개인정보·동의 관리</t>
  </si>
  <si>
    <t>동의서 항목 및 처리방침 점검</t>
  </si>
  <si>
    <t>ACC-01</t>
  </si>
  <si>
    <t>전표·증빙 처리(AP/AR)</t>
  </si>
  <si>
    <t>지출·매출 증빙 자동 분개 및 대사</t>
  </si>
  <si>
    <t>ACC-02</t>
  </si>
  <si>
    <t>세금계산서 검증·대사</t>
  </si>
  <si>
    <t>세금계산서 정합성 및 누락 검증</t>
  </si>
  <si>
    <t>ACC-03</t>
  </si>
  <si>
    <t>결산·감사 대응</t>
  </si>
  <si>
    <t>결산 자료 정리 및 감사 대응</t>
  </si>
  <si>
    <t>ACC-04</t>
  </si>
  <si>
    <t>비용·지출 검토</t>
  </si>
  <si>
    <t>품의·지출결의 적정성 검토</t>
  </si>
  <si>
    <t>HR-T1</t>
  </si>
  <si>
    <t>채용·지원서 처리</t>
  </si>
  <si>
    <t>지원서 추출 및 자격 검증</t>
  </si>
  <si>
    <t>HR-T2</t>
  </si>
  <si>
    <t>인사기록 관리</t>
  </si>
  <si>
    <t>인사기록·평가 데이터 정리</t>
  </si>
  <si>
    <t>HR-T3</t>
  </si>
  <si>
    <t>급여·4대보험 처리</t>
  </si>
  <si>
    <t>급여대장 및 보험 신고 처리</t>
  </si>
  <si>
    <t>HR-T4</t>
  </si>
  <si>
    <t>근로계약·근태 관리</t>
  </si>
  <si>
    <t>근로계약 조건 및 근태 정리</t>
  </si>
  <si>
    <t>방향(입력/산출)</t>
  </si>
  <si>
    <t>필수여부</t>
  </si>
  <si>
    <t>입력</t>
  </si>
  <si>
    <t>필수</t>
  </si>
  <si>
    <t>선택</t>
  </si>
  <si>
    <t>산출</t>
  </si>
  <si>
    <t>산출물</t>
  </si>
  <si>
    <t>Facet 분류 축 정의</t>
  </si>
  <si>
    <t>단일 트리가 아니라 직교하는 다축. 한 문서는 각 축에서 하나의 값을 갖되, 축 자체는 서로 독립이다.</t>
  </si>
  <si>
    <t>정부/공공 · 금융기관 · 기업 · 의료기관 · 개인 · 법원/공증. 누가 발급했는가는 진위검증과 신뢰수준을 결정한다.</t>
  </si>
  <si>
    <t>신청 · 계약/약정 · 증빙 · 증명 · 심사/평가 · 보고 · 의무기록 · 행정/내부. 업무 내 역할을 규정하는 가장 중요한 축.</t>
  </si>
  <si>
    <t>정형양식(고정 레이아웃) · 반정형(부분 고정) · 비정형(자유 텍스트) · 표중심. 추출 전략과 모델 선택을 좌우한다.</t>
  </si>
  <si>
    <t>스캔이미지 · 전자PDF · HWP · 이미지+표 혼합. 한국 특성상 HWP와 표중심 비중이 높아 OCR·VLM 파이프라인 분기를 결정한다.</t>
  </si>
  <si>
    <t>개인정보(민감) · 개인정보(일반) · 의료정보 · 금융정보 · 공개. 망분리·접근통제·마스킹 정책을 결정하는 규제 축.</t>
  </si>
  <si>
    <t>분할 기준</t>
  </si>
  <si>
    <t>두 문서를 별개 canonical로 나눌지의 유일한 기준은 '그 구분이 downstream 추출·검증을 실제로 바꾸는가'이다. 같은 필드를 같은 워크플로우로 흘린다면 나누지 않는다.</t>
  </si>
  <si>
    <t>Rule ID</t>
  </si>
  <si>
    <t>규칙명</t>
  </si>
  <si>
    <t>설명</t>
  </si>
  <si>
    <t>적용 대상</t>
  </si>
  <si>
    <t>심각도</t>
  </si>
  <si>
    <t>검수 트리거</t>
  </si>
  <si>
    <t>자동화 처리</t>
  </si>
  <si>
    <t>필수필드 누락</t>
  </si>
  <si>
    <t>문서 유형별 required_fields가 비어 있으면 오류 처리합니다.</t>
  </si>
  <si>
    <t>전체 문서</t>
  </si>
  <si>
    <t>High</t>
  </si>
  <si>
    <t>자동 반려 또는 검수 큐</t>
  </si>
  <si>
    <t>날짜 형식 검증</t>
  </si>
  <si>
    <t>발급일, 계약일, 진료일 등 날짜를 yyyy-mm-dd로 정규화합니다.</t>
  </si>
  <si>
    <t>Medium</t>
  </si>
  <si>
    <t>날짜 파싱 실패</t>
  </si>
  <si>
    <t>검수 큐</t>
  </si>
  <si>
    <t>VAL-003</t>
  </si>
  <si>
    <t>미래 발급일 금지</t>
  </si>
  <si>
    <t>발급일 또는 작성일이 처리일보다 미래이면 이상치로 표시합니다.</t>
  </si>
  <si>
    <t>증명서, 계약서</t>
  </si>
  <si>
    <t>미래일자 발견</t>
  </si>
  <si>
    <t>금액 합계 검증</t>
  </si>
  <si>
    <t>품목별 금액, 공급가액, 부가세, 합계금액의 산술관계를 검증합니다.</t>
  </si>
  <si>
    <t>거래증빙, 영수증, 명세서</t>
  </si>
  <si>
    <t>합계 불일치</t>
  </si>
  <si>
    <t>VAL-005</t>
  </si>
  <si>
    <t>사업자등록번호 형식</t>
  </si>
  <si>
    <t>000-00-00000 형태 또는 숫자 10자리로 정규화합니다.</t>
  </si>
  <si>
    <t>사업자·세무 문서</t>
  </si>
  <si>
    <t>형식 불일치</t>
  </si>
  <si>
    <t>VAL-006</t>
  </si>
  <si>
    <t>계좌번호 형식</t>
  </si>
  <si>
    <t>은행별 허용 길이와 특수문자 정규화를 적용합니다.</t>
  </si>
  <si>
    <t>금융, 보험, 정산</t>
  </si>
  <si>
    <t>계좌번호 불명확</t>
  </si>
  <si>
    <t>VAL-007</t>
  </si>
  <si>
    <t>주민번호 마스킹</t>
  </si>
  <si>
    <t>고유식별정보는 저장 전 마스킹 또는 암호화 정책을 적용합니다.</t>
  </si>
  <si>
    <t>S3 이상</t>
  </si>
  <si>
    <t>Critical</t>
  </si>
  <si>
    <t>원문 노출</t>
  </si>
  <si>
    <t>저장 차단</t>
  </si>
  <si>
    <t>VAL-008</t>
  </si>
  <si>
    <t>서명 존재 여부</t>
  </si>
  <si>
    <t>서명 필수 문서에서 signature_present가 false이면 검수로 보냅니다.</t>
  </si>
  <si>
    <t>신청서, 계약서, 동의서</t>
  </si>
  <si>
    <t>서명 없음</t>
  </si>
  <si>
    <t>VAL-009</t>
  </si>
  <si>
    <t>도장 또는 직인 존재 여부</t>
  </si>
  <si>
    <t>직인 필수 증명서와 계약서에서 seal_present를 확인합니다.</t>
  </si>
  <si>
    <t>도장 없음</t>
  </si>
  <si>
    <t>VAL-010</t>
  </si>
  <si>
    <t>체크박스 필수동의</t>
  </si>
  <si>
    <t>필수동의 항목이 false이면 업무 처리를 중단합니다.</t>
  </si>
  <si>
    <t>동의서</t>
  </si>
  <si>
    <t>필수동의 누락</t>
  </si>
  <si>
    <t>자동 반려</t>
  </si>
  <si>
    <t>VAL-011</t>
  </si>
  <si>
    <t>문서 중복 탐지</t>
  </si>
  <si>
    <t>문서번호, 발급일, 핵심 필드 해시로 중복 업로드를 탐지합니다.</t>
  </si>
  <si>
    <t>중복 의심</t>
  </si>
  <si>
    <t>중복 경고</t>
  </si>
  <si>
    <t>VAL-012</t>
  </si>
  <si>
    <t>페이지 연속성</t>
  </si>
  <si>
    <t>다중 페이지 문서에서 페이지 누락 또는 순서 오류를 탐지합니다.</t>
  </si>
  <si>
    <t>등기부등본, 계약서, 보고서</t>
  </si>
  <si>
    <t>페이지 누락</t>
  </si>
  <si>
    <t>VAL-013</t>
  </si>
  <si>
    <t>QR 또는 바코드 검증</t>
  </si>
  <si>
    <t>QR, 바코드가 있는 문서는 값 추출 후 OCR 결과와 대조합니다.</t>
  </si>
  <si>
    <t>증명서, 운송장</t>
  </si>
  <si>
    <t>값 불일치</t>
  </si>
  <si>
    <t>VAL-014</t>
  </si>
  <si>
    <t>Confidence Threshold</t>
  </si>
  <si>
    <t>문서단위 또는 필드단위 confidence가 기준 미만이면 검수로 라우팅합니다.</t>
  </si>
  <si>
    <t>confidence &lt; 0.92</t>
  </si>
  <si>
    <t>VAL-015</t>
  </si>
  <si>
    <t>S4 자동 의사결정 제한</t>
  </si>
  <si>
    <t>민감정보 문서는 자동 의사결정 또는 자동 거절에 사용하지 않습니다.</t>
  </si>
  <si>
    <t>의료문서, 보험 청구</t>
  </si>
  <si>
    <t>S4 문서 자동처리</t>
  </si>
  <si>
    <t>Human-in-the-loop</t>
  </si>
  <si>
    <t>A 문서ID</t>
  </si>
  <si>
    <t>A 문서명</t>
  </si>
  <si>
    <t>매칭상태</t>
  </si>
  <si>
    <t>B 관리ID</t>
  </si>
  <si>
    <t>B 문서유형</t>
  </si>
  <si>
    <t>매칭</t>
  </si>
  <si>
    <t>DOC-KR-0010</t>
  </si>
  <si>
    <t>DOC-KR-0011</t>
  </si>
  <si>
    <t>법인등기부등본</t>
  </si>
  <si>
    <t>A고유(B미수록)</t>
  </si>
  <si>
    <t>B에 대응 문서 없음</t>
  </si>
  <si>
    <t>DOC-KR-0001</t>
  </si>
  <si>
    <t>DOC-KR-0003</t>
  </si>
  <si>
    <t>DOC-KR-0006, DOC-KR-0007, DOC-KR-0008</t>
  </si>
  <si>
    <t>주민등록증 / 운전면허증 / 여권</t>
  </si>
  <si>
    <t>DOC-KR-0060</t>
  </si>
  <si>
    <t>DOC-KR-0061</t>
  </si>
  <si>
    <t>DOC-KR-0016</t>
  </si>
  <si>
    <t>부가가치세 과세표준증명</t>
  </si>
  <si>
    <t>DOC-KR-0017, DOC-KR-0018</t>
  </si>
  <si>
    <t>납세증명서(국세) / 지방세 납세증명서</t>
  </si>
  <si>
    <t>DOC-KR-0062</t>
  </si>
  <si>
    <t>원천징수영수증</t>
  </si>
  <si>
    <t>DOC-KR-0063</t>
  </si>
  <si>
    <t>DOC-KR-0038</t>
  </si>
  <si>
    <t>DOC-KR-0045, DOC-KR-0046, DOC-KR-0047</t>
  </si>
  <si>
    <t>카드매출전표 / 현금영수증 / 간이영수증</t>
  </si>
  <si>
    <t>DOC-KR-0026</t>
  </si>
  <si>
    <t>입출금거래내역서</t>
  </si>
  <si>
    <t>DOC-KR-0064</t>
  </si>
  <si>
    <t>급여명세서</t>
  </si>
  <si>
    <t>DOC-KR-0024</t>
  </si>
  <si>
    <t>대출신청서</t>
  </si>
  <si>
    <t>DOC-KR-0030</t>
  </si>
  <si>
    <t>DOC-KR-0076</t>
  </si>
  <si>
    <t>인허가신청서</t>
  </si>
  <si>
    <t>DOC-KR-0048</t>
  </si>
  <si>
    <t>DOC-KR-0058</t>
  </si>
  <si>
    <t>DOC-KR-0066</t>
  </si>
  <si>
    <t>DOC-KR-0049, DOC-KR-0050</t>
  </si>
  <si>
    <t>공급계약서 / 구매계약서</t>
  </si>
  <si>
    <t>DOC-KR-0051</t>
  </si>
  <si>
    <t>NDA</t>
  </si>
  <si>
    <t>DOC-KR-0020</t>
  </si>
  <si>
    <t>DOC-KR-0069</t>
  </si>
  <si>
    <t>등기사항전부증명서</t>
  </si>
  <si>
    <t>DOC-KR-0070, DOC-KR-0071</t>
  </si>
  <si>
    <t>건축물대장 / 토지대장</t>
  </si>
  <si>
    <t>DOC-KR-0097</t>
  </si>
  <si>
    <t>건강검진결과지</t>
  </si>
  <si>
    <t>DOC-KR-0035, DOC-KR-0093, DOC-KR-0094</t>
  </si>
  <si>
    <t>진단서 / 진단서(일반) / 소견서</t>
  </si>
  <si>
    <t>DOC-KR-0033, DOC-KR-0034</t>
  </si>
  <si>
    <t>진료비영수증 / 진료비세부산정내역서</t>
  </si>
  <si>
    <t>DOC-KR-0036</t>
  </si>
  <si>
    <t>DOC-KR-0091, DOC-KR-0095</t>
  </si>
  <si>
    <t>처방전 / 약제비영수증</t>
  </si>
  <si>
    <t>DOC-KR-0037</t>
  </si>
  <si>
    <t>수술확인서</t>
  </si>
  <si>
    <t>DOC-KR-0041</t>
  </si>
  <si>
    <t>견적서</t>
  </si>
  <si>
    <t>DOC-KR-0081</t>
  </si>
  <si>
    <t>회의록</t>
  </si>
  <si>
    <t>DOC-KR-0072, DOC-KR-0073</t>
  </si>
  <si>
    <t>공문 / 시행문</t>
  </si>
  <si>
    <t>DOC-KR-0083</t>
  </si>
  <si>
    <t>상업송장</t>
  </si>
  <si>
    <t>DOC-KR-0084</t>
  </si>
  <si>
    <t>포장명세서</t>
  </si>
  <si>
    <t>DOC-KR-0085</t>
  </si>
  <si>
    <t>선하증권</t>
  </si>
  <si>
    <t>DOC-KR-0087, DOC-KR-0088</t>
  </si>
  <si>
    <t>수입신고필증 / 수출신고필증</t>
  </si>
  <si>
    <t>DOC-KR-0086</t>
  </si>
  <si>
    <t>원산지증명서</t>
  </si>
  <si>
    <t>DOC-KR-0042, DOC-KR-0040</t>
  </si>
  <si>
    <t>발주서 / 거래명세서</t>
  </si>
  <si>
    <t>DOC-KR-0056</t>
  </si>
  <si>
    <t>DOC-KR-0053</t>
  </si>
  <si>
    <t>개인정보수집이용동의서</t>
  </si>
  <si>
    <t>DOC-KR-0029</t>
  </si>
  <si>
    <t>잔액증명서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</si>
</sst>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>
    <font>
      <sz val="11"/>
      <color theme="1"/>
      <name val="Calibri"/>
      <family val="2"/>
      <charset val="1"/>
    </font>
    <font>
      <sz val="10"/>
      <color rgb="FF808080"/>
      <name val="Arial"/>
      <family val="2"/>
    </font>
    <font>
      <b/>
      <sz val="10"/>
      <color rgb="FF1F3864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C0504D"/>
      <name val="Noto Sans CJK SC"/>
      <family val="2"/>
    </font>
    <font>
      <sz val="10"/>
      <color rgb="FFC0504D"/>
      <name val="Arial"/>
      <family val="2"/>
    </font>
    <font>
      <b/>
      <sz val="10"/>
      <color rgb="FF000000"/>
      <name val="Noto Sans CJK SC"/>
      <family val="2"/>
    </font>
    <font>
      <b/>
      <sz val="10"/>
      <color rgb="FF2E5496"/>
      <name val="Arial"/>
      <family val="2"/>
    </font>
    <font>
      <b/>
      <sz val="10"/>
      <color rgb="FFC0504D"/>
      <name val="Noto Sans CJK SC"/>
      <family val="2"/>
    </font>
    <font>
      <sz val="10"/>
      <color rgb="FF808080"/>
      <name val="Noto Sans CJK SC"/>
      <family val="2"/>
    </font>
    <font>
      <b/>
      <sz val="14"/>
      <color rgb="FF1F3864"/>
      <name val="Arial"/>
      <family val="2"/>
    </font>
    <font>
      <sz val="9"/>
      <color rgb="FF808080"/>
      <name val="Noto Sans CJK SC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i/>
      <sz val="10"/>
      <color rgb="FF808080"/>
      <name val="Calibri"/>
      <family val="2"/>
    </font>
    <font>
      <sz val="9"/>
      <color rgb="FF404040"/>
      <name val="Calibri"/>
      <family val="2"/>
    </font>
    <font>
      <b/>
      <sz val="11"/>
      <color rgb="FFFFFFFF"/>
      <name val="Calibri"/>
      <family val="2"/>
    </font>
    <font>
      <sz val="10"/>
      <color rgb="FF404040"/>
      <name val="Calibri"/>
      <family val="2"/>
    </font>
    <font>
      <b/>
      <sz val="14"/>
      <color rgb="FF1F4E78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4E78"/>
      <name val="Calibri"/>
      <family val="2"/>
    </font>
    <font>
      <sz val="8"/>
      <name val="나눔명조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EEF1F7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EF1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C9CEDB"/>
      </left>
      <right style="thin">
        <color rgb="FFC9CEDB"/>
      </right>
      <top style="thin">
        <color rgb="FFC9CEDB"/>
      </top>
      <bottom style="thin">
        <color rgb="FFC9CE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2" fillId="9" borderId="2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24" fillId="10" borderId="2" xfId="0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176" fontId="25" fillId="0" borderId="2" xfId="0" applyNumberFormat="1" applyFont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8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0" fillId="0" borderId="0" xfId="0" applyFont="1"/>
    <xf numFmtId="0" fontId="0" fillId="0" borderId="0" xfId="0"/>
    <xf numFmtId="0" fontId="19" fillId="0" borderId="0" xfId="0" applyFont="1"/>
    <xf numFmtId="0" fontId="21" fillId="5" borderId="0" xfId="0" applyFont="1" applyFill="1" applyAlignment="1">
      <alignment horizontal="left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EEF1F7"/>
      <rgbColor rgb="FFCCFFFF"/>
      <rgbColor rgb="FF660066"/>
      <rgbColor rgb="FFFF8080"/>
      <rgbColor rgb="FF0066CC"/>
      <rgbColor rgb="FFC9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2"/>
  <sheetViews>
    <sheetView showGridLines="0" topLeftCell="A61" workbookViewId="0">
      <selection activeCell="C52" sqref="C52"/>
    </sheetView>
  </sheetViews>
  <sheetFormatPr baseColWidth="10" defaultColWidth="8.83203125" defaultRowHeight="15"/>
  <cols>
    <col min="1" max="1" width="3" customWidth="1"/>
    <col min="2" max="2" width="30" customWidth="1"/>
    <col min="3" max="3" width="14" customWidth="1"/>
    <col min="4" max="4" width="11" customWidth="1"/>
    <col min="5" max="5" width="26" customWidth="1"/>
    <col min="6" max="6" width="12" customWidth="1"/>
    <col min="7" max="7" width="3" customWidth="1"/>
  </cols>
  <sheetData>
    <row r="2" spans="2:6" ht="26" customHeight="1">
      <c r="B2" s="71" t="s">
        <v>0</v>
      </c>
      <c r="C2" s="65"/>
      <c r="D2" s="65"/>
      <c r="E2" s="65"/>
      <c r="F2" s="65"/>
    </row>
    <row r="3" spans="2:6">
      <c r="B3" s="66" t="s">
        <v>1</v>
      </c>
      <c r="C3" s="65"/>
      <c r="D3" s="65"/>
      <c r="E3" s="65"/>
      <c r="F3" s="65"/>
    </row>
    <row r="4" spans="2:6">
      <c r="B4" s="64" t="s">
        <v>2</v>
      </c>
      <c r="C4" s="65"/>
      <c r="D4" s="65"/>
      <c r="E4" s="65"/>
      <c r="F4" s="65"/>
    </row>
    <row r="6" spans="2:6" ht="20" customHeight="1">
      <c r="B6" s="67" t="s">
        <v>3</v>
      </c>
      <c r="C6" s="65"/>
      <c r="D6" s="65"/>
      <c r="E6" s="65"/>
      <c r="F6" s="65"/>
    </row>
    <row r="7" spans="2:6" ht="22" customHeight="1">
      <c r="B7" s="53" t="s">
        <v>4</v>
      </c>
      <c r="C7" s="54">
        <v>154</v>
      </c>
      <c r="D7" s="55"/>
      <c r="E7" s="53" t="s">
        <v>5</v>
      </c>
      <c r="F7" s="54">
        <v>212</v>
      </c>
    </row>
    <row r="8" spans="2:6" ht="22" customHeight="1">
      <c r="B8" s="53" t="s">
        <v>6</v>
      </c>
      <c r="C8" s="54">
        <v>105</v>
      </c>
      <c r="D8" s="55"/>
      <c r="E8" s="53" t="s">
        <v>7</v>
      </c>
      <c r="F8" s="54">
        <v>4</v>
      </c>
    </row>
    <row r="9" spans="2:6" ht="22" customHeight="1">
      <c r="B9" s="53" t="s">
        <v>8</v>
      </c>
      <c r="C9" s="54">
        <v>49</v>
      </c>
      <c r="D9" s="55"/>
      <c r="E9" s="53" t="s">
        <v>9</v>
      </c>
      <c r="F9" s="54">
        <v>97</v>
      </c>
    </row>
    <row r="10" spans="2:6" ht="22" customHeight="1">
      <c r="B10" s="53" t="s">
        <v>10</v>
      </c>
      <c r="C10" s="54">
        <v>12</v>
      </c>
      <c r="D10" s="55"/>
      <c r="E10" s="53" t="s">
        <v>11</v>
      </c>
      <c r="F10" s="54">
        <v>99</v>
      </c>
    </row>
    <row r="11" spans="2:6" ht="22" customHeight="1">
      <c r="B11" s="53" t="s">
        <v>12</v>
      </c>
      <c r="C11" s="54">
        <v>53</v>
      </c>
      <c r="D11" s="55"/>
      <c r="E11" s="53" t="s">
        <v>13</v>
      </c>
      <c r="F11" s="54">
        <v>55</v>
      </c>
    </row>
    <row r="13" spans="2:6" ht="20" customHeight="1">
      <c r="B13" s="67" t="s">
        <v>14</v>
      </c>
      <c r="C13" s="65"/>
      <c r="D13" s="65"/>
    </row>
    <row r="14" spans="2:6">
      <c r="B14" s="56" t="s">
        <v>15</v>
      </c>
      <c r="C14" s="56" t="s">
        <v>16</v>
      </c>
      <c r="D14" s="56" t="s">
        <v>17</v>
      </c>
    </row>
    <row r="15" spans="2:6">
      <c r="B15" s="57" t="s">
        <v>18</v>
      </c>
      <c r="C15" s="58">
        <v>99</v>
      </c>
      <c r="D15" s="59">
        <v>0.6428571428571429</v>
      </c>
    </row>
    <row r="16" spans="2:6">
      <c r="B16" s="60" t="s">
        <v>19</v>
      </c>
      <c r="C16" s="58">
        <v>55</v>
      </c>
      <c r="D16" s="59">
        <v>0.35714285714285721</v>
      </c>
    </row>
    <row r="18" spans="2:4" ht="20" customHeight="1">
      <c r="B18" s="67" t="s">
        <v>20</v>
      </c>
      <c r="C18" s="65"/>
      <c r="D18" s="65"/>
    </row>
    <row r="19" spans="2:4">
      <c r="B19" s="56" t="s">
        <v>15</v>
      </c>
      <c r="C19" s="56" t="s">
        <v>16</v>
      </c>
      <c r="D19" s="56" t="s">
        <v>17</v>
      </c>
    </row>
    <row r="20" spans="2:4">
      <c r="B20" s="61" t="s">
        <v>21</v>
      </c>
      <c r="C20" s="58">
        <v>45</v>
      </c>
      <c r="D20" s="59">
        <v>0.29220779220779219</v>
      </c>
    </row>
    <row r="21" spans="2:4">
      <c r="B21" s="61" t="s">
        <v>22</v>
      </c>
      <c r="C21" s="58">
        <v>42</v>
      </c>
      <c r="D21" s="59">
        <v>0.27272727272727271</v>
      </c>
    </row>
    <row r="22" spans="2:4">
      <c r="B22" s="61" t="s">
        <v>23</v>
      </c>
      <c r="C22" s="58">
        <v>31</v>
      </c>
      <c r="D22" s="59">
        <v>0.20129870129870131</v>
      </c>
    </row>
    <row r="23" spans="2:4">
      <c r="B23" s="61" t="s">
        <v>24</v>
      </c>
      <c r="C23" s="58">
        <v>24</v>
      </c>
      <c r="D23" s="59">
        <v>0.15584415584415581</v>
      </c>
    </row>
    <row r="24" spans="2:4">
      <c r="B24" s="61" t="s">
        <v>25</v>
      </c>
      <c r="C24" s="58">
        <v>12</v>
      </c>
      <c r="D24" s="59">
        <v>7.792207792207792E-2</v>
      </c>
    </row>
    <row r="26" spans="2:4" ht="20" customHeight="1">
      <c r="B26" s="67" t="s">
        <v>26</v>
      </c>
      <c r="C26" s="65"/>
      <c r="D26" s="65"/>
    </row>
    <row r="27" spans="2:4">
      <c r="B27" s="56" t="s">
        <v>15</v>
      </c>
      <c r="C27" s="56" t="s">
        <v>16</v>
      </c>
      <c r="D27" s="56" t="s">
        <v>17</v>
      </c>
    </row>
    <row r="28" spans="2:4">
      <c r="B28" s="61" t="s">
        <v>27</v>
      </c>
      <c r="C28" s="58">
        <v>33</v>
      </c>
      <c r="D28" s="59">
        <v>0.2142857142857143</v>
      </c>
    </row>
    <row r="29" spans="2:4">
      <c r="B29" s="61" t="s">
        <v>28</v>
      </c>
      <c r="C29" s="58">
        <v>12</v>
      </c>
      <c r="D29" s="59">
        <v>7.792207792207792E-2</v>
      </c>
    </row>
    <row r="30" spans="2:4">
      <c r="B30" s="61" t="s">
        <v>29</v>
      </c>
      <c r="C30" s="58">
        <v>77</v>
      </c>
      <c r="D30" s="59">
        <v>0.5</v>
      </c>
    </row>
    <row r="31" spans="2:4">
      <c r="B31" s="61" t="s">
        <v>30</v>
      </c>
      <c r="C31" s="58">
        <v>11</v>
      </c>
      <c r="D31" s="59">
        <v>7.1428571428571425E-2</v>
      </c>
    </row>
    <row r="32" spans="2:4">
      <c r="B32" s="61" t="s">
        <v>31</v>
      </c>
      <c r="C32" s="58">
        <v>16</v>
      </c>
      <c r="D32" s="59">
        <v>0.1038961038961039</v>
      </c>
    </row>
    <row r="33" spans="2:4">
      <c r="B33" s="61" t="s">
        <v>32</v>
      </c>
      <c r="C33" s="58">
        <v>4</v>
      </c>
      <c r="D33" s="59">
        <v>2.5974025974025979E-2</v>
      </c>
    </row>
    <row r="34" spans="2:4">
      <c r="B34" s="61" t="s">
        <v>33</v>
      </c>
      <c r="C34" s="58">
        <v>1</v>
      </c>
      <c r="D34" s="59">
        <v>6.4935064935064939E-3</v>
      </c>
    </row>
    <row r="36" spans="2:4" ht="20" customHeight="1">
      <c r="B36" s="67" t="s">
        <v>34</v>
      </c>
      <c r="C36" s="65"/>
      <c r="D36" s="65"/>
    </row>
    <row r="37" spans="2:4">
      <c r="B37" s="56" t="s">
        <v>15</v>
      </c>
      <c r="C37" s="56" t="s">
        <v>16</v>
      </c>
      <c r="D37" s="56" t="s">
        <v>17</v>
      </c>
    </row>
    <row r="38" spans="2:4">
      <c r="B38" s="61" t="s">
        <v>35</v>
      </c>
      <c r="C38" s="58">
        <v>15</v>
      </c>
      <c r="D38" s="59">
        <v>9.7402597402597407E-2</v>
      </c>
    </row>
    <row r="39" spans="2:4">
      <c r="B39" s="61" t="s">
        <v>36</v>
      </c>
      <c r="C39" s="58">
        <v>16</v>
      </c>
      <c r="D39" s="59">
        <v>0.1038961038961039</v>
      </c>
    </row>
    <row r="40" spans="2:4">
      <c r="B40" s="61" t="s">
        <v>37</v>
      </c>
      <c r="C40" s="58">
        <v>30</v>
      </c>
      <c r="D40" s="59">
        <v>0.19480519480519479</v>
      </c>
    </row>
    <row r="41" spans="2:4">
      <c r="B41" s="61" t="s">
        <v>38</v>
      </c>
      <c r="C41" s="58">
        <v>43</v>
      </c>
      <c r="D41" s="59">
        <v>0.2792207792207792</v>
      </c>
    </row>
    <row r="42" spans="2:4">
      <c r="B42" s="61" t="s">
        <v>39</v>
      </c>
      <c r="C42" s="58">
        <v>11</v>
      </c>
      <c r="D42" s="59">
        <v>7.1428571428571425E-2</v>
      </c>
    </row>
    <row r="43" spans="2:4">
      <c r="B43" s="61" t="s">
        <v>40</v>
      </c>
      <c r="C43" s="58">
        <v>11</v>
      </c>
      <c r="D43" s="59">
        <v>7.1428571428571425E-2</v>
      </c>
    </row>
    <row r="44" spans="2:4">
      <c r="B44" s="61" t="s">
        <v>41</v>
      </c>
      <c r="C44" s="58">
        <v>9</v>
      </c>
      <c r="D44" s="59">
        <v>5.844155844155844E-2</v>
      </c>
    </row>
    <row r="45" spans="2:4">
      <c r="B45" s="61" t="s">
        <v>42</v>
      </c>
      <c r="C45" s="58">
        <v>19</v>
      </c>
      <c r="D45" s="59">
        <v>0.1233766233766234</v>
      </c>
    </row>
    <row r="47" spans="2:4" ht="20" customHeight="1">
      <c r="B47" s="67" t="s">
        <v>43</v>
      </c>
      <c r="C47" s="65"/>
      <c r="D47" s="65"/>
    </row>
    <row r="48" spans="2:4">
      <c r="B48" s="56" t="s">
        <v>15</v>
      </c>
      <c r="C48" s="56" t="s">
        <v>16</v>
      </c>
      <c r="D48" s="56" t="s">
        <v>17</v>
      </c>
    </row>
    <row r="49" spans="2:4">
      <c r="B49" s="61" t="s">
        <v>44</v>
      </c>
      <c r="C49" s="58">
        <v>45</v>
      </c>
      <c r="D49" s="59">
        <v>0.29220779220779219</v>
      </c>
    </row>
    <row r="50" spans="2:4">
      <c r="B50" s="61" t="s">
        <v>45</v>
      </c>
      <c r="C50" s="58">
        <v>33</v>
      </c>
      <c r="D50" s="59">
        <v>0.2142857142857143</v>
      </c>
    </row>
    <row r="51" spans="2:4">
      <c r="B51" s="61" t="s">
        <v>46</v>
      </c>
      <c r="C51" s="58">
        <v>32</v>
      </c>
      <c r="D51" s="59">
        <v>0.20779220779220781</v>
      </c>
    </row>
    <row r="52" spans="2:4">
      <c r="B52" s="61" t="s">
        <v>47</v>
      </c>
      <c r="C52" s="58">
        <v>39</v>
      </c>
      <c r="D52" s="59">
        <v>0.25324675324675322</v>
      </c>
    </row>
    <row r="53" spans="2:4">
      <c r="B53" s="61" t="s">
        <v>48</v>
      </c>
      <c r="C53" s="58">
        <v>5</v>
      </c>
      <c r="D53" s="59">
        <v>3.2467532467532458E-2</v>
      </c>
    </row>
    <row r="55" spans="2:4" ht="20" customHeight="1">
      <c r="B55" s="67" t="s">
        <v>49</v>
      </c>
      <c r="C55" s="65"/>
      <c r="D55" s="65"/>
    </row>
    <row r="56" spans="2:4">
      <c r="B56" s="56" t="s">
        <v>15</v>
      </c>
      <c r="C56" s="56" t="s">
        <v>16</v>
      </c>
      <c r="D56" s="56" t="s">
        <v>17</v>
      </c>
    </row>
    <row r="57" spans="2:4">
      <c r="B57" s="61" t="s">
        <v>50</v>
      </c>
      <c r="C57" s="58">
        <v>77</v>
      </c>
      <c r="D57" s="59">
        <v>0.5</v>
      </c>
    </row>
    <row r="58" spans="2:4">
      <c r="B58" s="61" t="s">
        <v>51</v>
      </c>
      <c r="C58" s="58">
        <v>58</v>
      </c>
      <c r="D58" s="59">
        <v>0.37662337662337658</v>
      </c>
    </row>
    <row r="59" spans="2:4">
      <c r="B59" s="61" t="s">
        <v>52</v>
      </c>
      <c r="C59" s="58">
        <v>18</v>
      </c>
      <c r="D59" s="59">
        <v>0.11688311688311689</v>
      </c>
    </row>
    <row r="60" spans="2:4">
      <c r="B60" s="61" t="s">
        <v>48</v>
      </c>
      <c r="C60" s="58">
        <v>1</v>
      </c>
      <c r="D60" s="59">
        <v>6.4935064935064939E-3</v>
      </c>
    </row>
    <row r="62" spans="2:4" ht="20" customHeight="1">
      <c r="B62" s="67" t="s">
        <v>53</v>
      </c>
      <c r="C62" s="65"/>
      <c r="D62" s="65"/>
    </row>
    <row r="63" spans="2:4">
      <c r="B63" s="56" t="s">
        <v>15</v>
      </c>
      <c r="C63" s="56" t="s">
        <v>16</v>
      </c>
      <c r="D63" s="56" t="s">
        <v>17</v>
      </c>
    </row>
    <row r="64" spans="2:4">
      <c r="B64" s="61" t="s">
        <v>54</v>
      </c>
      <c r="C64" s="58">
        <v>9</v>
      </c>
      <c r="D64" s="59">
        <v>0.169811320754717</v>
      </c>
    </row>
    <row r="65" spans="2:4">
      <c r="B65" s="61" t="s">
        <v>55</v>
      </c>
      <c r="C65" s="58">
        <v>4</v>
      </c>
      <c r="D65" s="59">
        <v>7.5471698113207544E-2</v>
      </c>
    </row>
    <row r="66" spans="2:4">
      <c r="B66" s="61" t="s">
        <v>56</v>
      </c>
      <c r="C66" s="58">
        <v>2</v>
      </c>
      <c r="D66" s="59">
        <v>3.7735849056603772E-2</v>
      </c>
    </row>
    <row r="67" spans="2:4">
      <c r="B67" s="61" t="s">
        <v>57</v>
      </c>
      <c r="C67" s="58">
        <v>5</v>
      </c>
      <c r="D67" s="59">
        <v>9.4339622641509441E-2</v>
      </c>
    </row>
    <row r="68" spans="2:4">
      <c r="B68" s="61" t="s">
        <v>58</v>
      </c>
      <c r="C68" s="58">
        <v>7</v>
      </c>
      <c r="D68" s="59">
        <v>0.13207547169811321</v>
      </c>
    </row>
    <row r="69" spans="2:4">
      <c r="B69" s="61" t="s">
        <v>59</v>
      </c>
      <c r="C69" s="58">
        <v>3</v>
      </c>
      <c r="D69" s="59">
        <v>5.6603773584905662E-2</v>
      </c>
    </row>
    <row r="70" spans="2:4">
      <c r="B70" s="61" t="s">
        <v>60</v>
      </c>
      <c r="C70" s="58">
        <v>4</v>
      </c>
      <c r="D70" s="59">
        <v>7.5471698113207544E-2</v>
      </c>
    </row>
    <row r="71" spans="2:4">
      <c r="B71" s="61" t="s">
        <v>61</v>
      </c>
      <c r="C71" s="58">
        <v>4</v>
      </c>
      <c r="D71" s="59">
        <v>7.5471698113207544E-2</v>
      </c>
    </row>
    <row r="72" spans="2:4">
      <c r="B72" s="61" t="s">
        <v>62</v>
      </c>
      <c r="C72" s="58">
        <v>3</v>
      </c>
      <c r="D72" s="59">
        <v>5.6603773584905662E-2</v>
      </c>
    </row>
    <row r="73" spans="2:4">
      <c r="B73" s="61" t="s">
        <v>63</v>
      </c>
      <c r="C73" s="58">
        <v>4</v>
      </c>
      <c r="D73" s="59">
        <v>7.5471698113207544E-2</v>
      </c>
    </row>
    <row r="74" spans="2:4">
      <c r="B74" s="61" t="s">
        <v>64</v>
      </c>
      <c r="C74" s="58">
        <v>4</v>
      </c>
      <c r="D74" s="59">
        <v>7.5471698113207544E-2</v>
      </c>
    </row>
    <row r="75" spans="2:4">
      <c r="B75" s="61" t="s">
        <v>65</v>
      </c>
      <c r="C75" s="58">
        <v>4</v>
      </c>
      <c r="D75" s="59">
        <v>7.5471698113207544E-2</v>
      </c>
    </row>
    <row r="77" spans="2:4" ht="20" customHeight="1">
      <c r="B77" s="67" t="s">
        <v>66</v>
      </c>
      <c r="C77" s="65"/>
      <c r="D77" s="65"/>
    </row>
    <row r="78" spans="2:4">
      <c r="B78" s="56" t="s">
        <v>15</v>
      </c>
      <c r="C78" s="56" t="s">
        <v>16</v>
      </c>
      <c r="D78" s="56" t="s">
        <v>17</v>
      </c>
    </row>
    <row r="79" spans="2:4">
      <c r="B79" s="61" t="s">
        <v>67</v>
      </c>
      <c r="C79" s="58">
        <v>42</v>
      </c>
      <c r="D79" s="59">
        <v>0.27272727272727271</v>
      </c>
    </row>
    <row r="80" spans="2:4">
      <c r="B80" s="61" t="s">
        <v>68</v>
      </c>
      <c r="C80" s="58">
        <v>64</v>
      </c>
      <c r="D80" s="59">
        <v>0.41558441558441561</v>
      </c>
    </row>
    <row r="81" spans="2:6">
      <c r="B81" s="61" t="s">
        <v>69</v>
      </c>
      <c r="C81" s="58">
        <v>19</v>
      </c>
      <c r="D81" s="59">
        <v>0.1233766233766234</v>
      </c>
    </row>
    <row r="82" spans="2:6">
      <c r="B82" s="61" t="s">
        <v>70</v>
      </c>
      <c r="C82" s="58">
        <v>40</v>
      </c>
      <c r="D82" s="59">
        <v>0.25974025974025972</v>
      </c>
    </row>
    <row r="83" spans="2:6">
      <c r="B83" s="61" t="s">
        <v>71</v>
      </c>
      <c r="C83" s="58">
        <v>7</v>
      </c>
      <c r="D83" s="59">
        <v>4.5454545454545463E-2</v>
      </c>
    </row>
    <row r="84" spans="2:6">
      <c r="B84" s="61" t="s">
        <v>72</v>
      </c>
      <c r="C84" s="58">
        <v>3</v>
      </c>
      <c r="D84" s="59">
        <v>1.948051948051948E-2</v>
      </c>
    </row>
    <row r="85" spans="2:6">
      <c r="B85" s="61" t="s">
        <v>73</v>
      </c>
      <c r="C85" s="58">
        <v>4</v>
      </c>
      <c r="D85" s="59">
        <v>2.5974025974025979E-2</v>
      </c>
    </row>
    <row r="86" spans="2:6">
      <c r="B86" s="61" t="s">
        <v>74</v>
      </c>
      <c r="C86" s="58">
        <v>37</v>
      </c>
      <c r="D86" s="59">
        <v>0.24025974025974031</v>
      </c>
    </row>
    <row r="87" spans="2:6">
      <c r="B87" s="61" t="s">
        <v>75</v>
      </c>
      <c r="C87" s="58">
        <v>37</v>
      </c>
      <c r="D87" s="59">
        <v>0.24025974025974031</v>
      </c>
    </row>
    <row r="88" spans="2:6">
      <c r="B88" s="61" t="s">
        <v>76</v>
      </c>
      <c r="C88" s="58">
        <v>11</v>
      </c>
      <c r="D88" s="59">
        <v>7.1428571428571425E-2</v>
      </c>
    </row>
    <row r="89" spans="2:6">
      <c r="B89" s="61" t="s">
        <v>77</v>
      </c>
      <c r="C89" s="58">
        <v>23</v>
      </c>
      <c r="D89" s="59">
        <v>0.14935064935064929</v>
      </c>
    </row>
    <row r="90" spans="2:6">
      <c r="B90" s="61" t="s">
        <v>78</v>
      </c>
      <c r="C90" s="58">
        <v>1</v>
      </c>
      <c r="D90" s="59">
        <v>6.4935064935064939E-3</v>
      </c>
    </row>
    <row r="91" spans="2:6">
      <c r="B91" s="61" t="s">
        <v>79</v>
      </c>
      <c r="C91" s="58">
        <v>19</v>
      </c>
      <c r="D91" s="59">
        <v>0.1233766233766234</v>
      </c>
    </row>
    <row r="92" spans="2:6">
      <c r="B92" s="61" t="s">
        <v>80</v>
      </c>
      <c r="C92" s="58">
        <v>1</v>
      </c>
      <c r="D92" s="59">
        <v>6.4935064935064939E-3</v>
      </c>
    </row>
    <row r="93" spans="2:6">
      <c r="B93" s="61" t="s">
        <v>81</v>
      </c>
      <c r="C93" s="58">
        <v>8</v>
      </c>
      <c r="D93" s="59">
        <v>5.1948051948051951E-2</v>
      </c>
    </row>
    <row r="95" spans="2:6" ht="20" customHeight="1">
      <c r="B95" s="67" t="s">
        <v>82</v>
      </c>
      <c r="C95" s="65"/>
      <c r="D95" s="65"/>
      <c r="E95" s="65"/>
      <c r="F95" s="65"/>
    </row>
    <row r="96" spans="2:6" ht="30" customHeight="1">
      <c r="B96" s="62" t="s">
        <v>83</v>
      </c>
      <c r="C96" s="68" t="s">
        <v>84</v>
      </c>
      <c r="D96" s="69"/>
      <c r="E96" s="69"/>
      <c r="F96" s="70"/>
    </row>
    <row r="97" spans="2:6" ht="30" customHeight="1">
      <c r="B97" s="62" t="s">
        <v>85</v>
      </c>
      <c r="C97" s="68" t="s">
        <v>86</v>
      </c>
      <c r="D97" s="69"/>
      <c r="E97" s="69"/>
      <c r="F97" s="70"/>
    </row>
    <row r="98" spans="2:6" ht="30" customHeight="1">
      <c r="B98" s="62" t="s">
        <v>87</v>
      </c>
      <c r="C98" s="68" t="s">
        <v>88</v>
      </c>
      <c r="D98" s="69"/>
      <c r="E98" s="69"/>
      <c r="F98" s="70"/>
    </row>
    <row r="99" spans="2:6" ht="30" customHeight="1">
      <c r="B99" s="62" t="s">
        <v>89</v>
      </c>
      <c r="C99" s="68" t="s">
        <v>90</v>
      </c>
      <c r="D99" s="69"/>
      <c r="E99" s="69"/>
      <c r="F99" s="70"/>
    </row>
    <row r="100" spans="2:6" ht="30" customHeight="1">
      <c r="B100" s="62" t="s">
        <v>91</v>
      </c>
      <c r="C100" s="68" t="s">
        <v>92</v>
      </c>
      <c r="D100" s="69"/>
      <c r="E100" s="69"/>
      <c r="F100" s="70"/>
    </row>
    <row r="101" spans="2:6" ht="30" customHeight="1">
      <c r="B101" s="62" t="s">
        <v>93</v>
      </c>
      <c r="C101" s="68" t="s">
        <v>94</v>
      </c>
      <c r="D101" s="69"/>
      <c r="E101" s="69"/>
      <c r="F101" s="70"/>
    </row>
    <row r="102" spans="2:6" ht="30" customHeight="1">
      <c r="B102" s="62" t="s">
        <v>95</v>
      </c>
      <c r="C102" s="68" t="s">
        <v>96</v>
      </c>
      <c r="D102" s="69"/>
      <c r="E102" s="69"/>
      <c r="F102" s="70"/>
    </row>
  </sheetData>
  <mergeCells count="20">
    <mergeCell ref="B6:F6"/>
    <mergeCell ref="B95:F95"/>
    <mergeCell ref="B18:D18"/>
    <mergeCell ref="B77:D77"/>
    <mergeCell ref="B4:F4"/>
    <mergeCell ref="B3:F3"/>
    <mergeCell ref="B13:D13"/>
    <mergeCell ref="C102:F102"/>
    <mergeCell ref="B2:F2"/>
    <mergeCell ref="C96:F96"/>
    <mergeCell ref="C101:F101"/>
    <mergeCell ref="B55:D55"/>
    <mergeCell ref="C98:F98"/>
    <mergeCell ref="B36:D36"/>
    <mergeCell ref="C97:F97"/>
    <mergeCell ref="B26:D26"/>
    <mergeCell ref="C100:F100"/>
    <mergeCell ref="B62:D62"/>
    <mergeCell ref="C99:F99"/>
    <mergeCell ref="B47:D47"/>
  </mergeCells>
  <phoneticPr fontId="2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showGridLines="0" zoomScaleNormal="100" workbookViewId="0">
      <pane ySplit="1" topLeftCell="A84" activePane="bottomLeft" state="frozen"/>
      <selection pane="bottomLeft" activeCell="R10" sqref="R10"/>
    </sheetView>
  </sheetViews>
  <sheetFormatPr baseColWidth="10" defaultColWidth="8.6640625" defaultRowHeight="15"/>
  <cols>
    <col min="1" max="1" width="10" customWidth="1"/>
    <col min="2" max="2" width="34" customWidth="1"/>
    <col min="3" max="3" width="12" customWidth="1"/>
    <col min="4" max="4" width="11" customWidth="1"/>
    <col min="5" max="5" width="12" customWidth="1"/>
    <col min="6" max="6" width="13" customWidth="1"/>
    <col min="7" max="7" width="14" customWidth="1"/>
    <col min="8" max="8" width="46" customWidth="1"/>
    <col min="9" max="9" width="9" customWidth="1"/>
    <col min="10" max="10" width="18" customWidth="1"/>
    <col min="11" max="11" width="13" customWidth="1"/>
    <col min="12" max="12" width="30" customWidth="1"/>
    <col min="13" max="13" width="38" customWidth="1"/>
    <col min="14" max="14" width="22" customWidth="1"/>
    <col min="15" max="15" width="10" customWidth="1"/>
  </cols>
  <sheetData>
    <row r="1" spans="1:15" ht="29.75" customHeight="1">
      <c r="A1" s="5" t="s">
        <v>97</v>
      </c>
      <c r="B1" s="5" t="s">
        <v>98</v>
      </c>
      <c r="C1" s="5" t="s">
        <v>99</v>
      </c>
      <c r="D1" s="5" t="s">
        <v>100</v>
      </c>
      <c r="E1" s="5" t="s">
        <v>101</v>
      </c>
      <c r="F1" s="6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47" t="s">
        <v>107</v>
      </c>
      <c r="L1" s="47" t="s">
        <v>108</v>
      </c>
      <c r="M1" s="47" t="s">
        <v>109</v>
      </c>
      <c r="N1" s="47" t="s">
        <v>110</v>
      </c>
      <c r="O1" s="6" t="s">
        <v>111</v>
      </c>
    </row>
    <row r="2" spans="1:15" ht="30" customHeight="1">
      <c r="A2" s="7" t="s">
        <v>112</v>
      </c>
      <c r="B2" s="2" t="s">
        <v>113</v>
      </c>
      <c r="C2" s="8" t="s">
        <v>27</v>
      </c>
      <c r="D2" s="8" t="s">
        <v>38</v>
      </c>
      <c r="E2" s="8" t="s">
        <v>44</v>
      </c>
      <c r="F2" s="8" t="s">
        <v>50</v>
      </c>
      <c r="G2" s="8" t="s">
        <v>22</v>
      </c>
      <c r="H2" s="2" t="s">
        <v>114</v>
      </c>
      <c r="I2" s="9">
        <f>COUNTIF('3.업무-문서매핑'!$B:$B,A2)</f>
        <v>6</v>
      </c>
      <c r="J2" s="10" t="s">
        <v>115</v>
      </c>
      <c r="K2" s="48" t="s">
        <v>18</v>
      </c>
      <c r="L2" s="49" t="s">
        <v>116</v>
      </c>
      <c r="M2" s="49" t="s">
        <v>117</v>
      </c>
      <c r="N2" s="49" t="s">
        <v>118</v>
      </c>
      <c r="O2" s="63" t="s">
        <v>119</v>
      </c>
    </row>
    <row r="3" spans="1:15" ht="30" customHeight="1">
      <c r="A3" s="11" t="s">
        <v>120</v>
      </c>
      <c r="B3" s="12" t="s">
        <v>121</v>
      </c>
      <c r="C3" s="13" t="s">
        <v>32</v>
      </c>
      <c r="D3" s="13" t="s">
        <v>38</v>
      </c>
      <c r="E3" s="13" t="s">
        <v>47</v>
      </c>
      <c r="F3" s="13" t="s">
        <v>51</v>
      </c>
      <c r="G3" s="13" t="s">
        <v>22</v>
      </c>
      <c r="H3" s="12" t="s">
        <v>122</v>
      </c>
      <c r="I3" s="14">
        <f>COUNTIF('3.업무-문서매핑'!$B:$B,A3)</f>
        <v>3</v>
      </c>
      <c r="J3" s="15" t="s">
        <v>115</v>
      </c>
      <c r="K3" s="48" t="s">
        <v>18</v>
      </c>
      <c r="L3" s="49" t="s">
        <v>123</v>
      </c>
      <c r="M3" s="49" t="s">
        <v>124</v>
      </c>
      <c r="N3" s="49" t="s">
        <v>125</v>
      </c>
      <c r="O3" s="63" t="s">
        <v>119</v>
      </c>
    </row>
    <row r="4" spans="1:15" ht="30" customHeight="1">
      <c r="A4" s="7" t="s">
        <v>126</v>
      </c>
      <c r="B4" s="2" t="s">
        <v>127</v>
      </c>
      <c r="C4" s="8" t="s">
        <v>29</v>
      </c>
      <c r="D4" s="8" t="s">
        <v>42</v>
      </c>
      <c r="E4" s="8" t="s">
        <v>47</v>
      </c>
      <c r="F4" s="8" t="s">
        <v>51</v>
      </c>
      <c r="G4" s="8" t="s">
        <v>22</v>
      </c>
      <c r="H4" s="2" t="s">
        <v>128</v>
      </c>
      <c r="I4" s="9">
        <f>COUNTIF('3.업무-문서매핑'!$B:$B,A4)</f>
        <v>2</v>
      </c>
      <c r="J4" s="8"/>
      <c r="K4" s="48" t="s">
        <v>18</v>
      </c>
      <c r="L4" s="49"/>
      <c r="M4" s="49"/>
      <c r="N4" s="49"/>
      <c r="O4" s="63" t="s">
        <v>119</v>
      </c>
    </row>
    <row r="5" spans="1:15" ht="30" customHeight="1">
      <c r="A5" s="11" t="s">
        <v>129</v>
      </c>
      <c r="B5" s="12" t="s">
        <v>130</v>
      </c>
      <c r="C5" s="13" t="s">
        <v>27</v>
      </c>
      <c r="D5" s="13" t="s">
        <v>38</v>
      </c>
      <c r="E5" s="13" t="s">
        <v>44</v>
      </c>
      <c r="F5" s="13" t="s">
        <v>50</v>
      </c>
      <c r="G5" s="13" t="s">
        <v>24</v>
      </c>
      <c r="H5" s="12" t="s">
        <v>131</v>
      </c>
      <c r="I5" s="14">
        <f>COUNTIF('3.업무-문서매핑'!$B:$B,A5)</f>
        <v>2</v>
      </c>
      <c r="J5" s="15" t="s">
        <v>115</v>
      </c>
      <c r="K5" s="48" t="s">
        <v>18</v>
      </c>
      <c r="L5" s="49" t="s">
        <v>132</v>
      </c>
      <c r="M5" s="49" t="s">
        <v>133</v>
      </c>
      <c r="N5" s="49" t="s">
        <v>134</v>
      </c>
      <c r="O5" s="63" t="s">
        <v>119</v>
      </c>
    </row>
    <row r="6" spans="1:15" ht="30" customHeight="1">
      <c r="A6" s="7" t="s">
        <v>135</v>
      </c>
      <c r="B6" s="2" t="s">
        <v>136</v>
      </c>
      <c r="C6" s="8" t="s">
        <v>27</v>
      </c>
      <c r="D6" s="8" t="s">
        <v>38</v>
      </c>
      <c r="E6" s="8" t="s">
        <v>44</v>
      </c>
      <c r="F6" s="8" t="s">
        <v>50</v>
      </c>
      <c r="G6" s="8" t="s">
        <v>24</v>
      </c>
      <c r="H6" s="2" t="s">
        <v>137</v>
      </c>
      <c r="I6" s="9">
        <f>COUNTIF('3.업무-문서매핑'!$B:$B,A6)</f>
        <v>2</v>
      </c>
      <c r="J6" s="10" t="s">
        <v>115</v>
      </c>
      <c r="K6" s="48" t="s">
        <v>18</v>
      </c>
      <c r="L6" s="49" t="s">
        <v>138</v>
      </c>
      <c r="M6" s="49" t="s">
        <v>133</v>
      </c>
      <c r="N6" s="49" t="s">
        <v>134</v>
      </c>
      <c r="O6" s="63" t="s">
        <v>119</v>
      </c>
    </row>
    <row r="7" spans="1:15" ht="30" customHeight="1">
      <c r="A7" s="11" t="s">
        <v>139</v>
      </c>
      <c r="B7" s="12" t="s">
        <v>140</v>
      </c>
      <c r="C7" s="13" t="s">
        <v>27</v>
      </c>
      <c r="D7" s="13" t="s">
        <v>38</v>
      </c>
      <c r="E7" s="13" t="s">
        <v>44</v>
      </c>
      <c r="F7" s="13" t="s">
        <v>50</v>
      </c>
      <c r="G7" s="13" t="s">
        <v>24</v>
      </c>
      <c r="H7" s="12" t="s">
        <v>141</v>
      </c>
      <c r="I7" s="14">
        <f>COUNTIF('3.업무-문서매핑'!$B:$B,A7)</f>
        <v>3</v>
      </c>
      <c r="J7" s="15" t="s">
        <v>115</v>
      </c>
      <c r="K7" s="48" t="s">
        <v>18</v>
      </c>
      <c r="L7" s="49" t="s">
        <v>142</v>
      </c>
      <c r="M7" s="49" t="s">
        <v>143</v>
      </c>
      <c r="N7" s="49" t="s">
        <v>144</v>
      </c>
      <c r="O7" s="63" t="s">
        <v>119</v>
      </c>
    </row>
    <row r="8" spans="1:15" ht="30" customHeight="1">
      <c r="A8" s="7" t="s">
        <v>145</v>
      </c>
      <c r="B8" s="2" t="s">
        <v>146</v>
      </c>
      <c r="C8" s="8" t="s">
        <v>29</v>
      </c>
      <c r="D8" s="8" t="s">
        <v>39</v>
      </c>
      <c r="E8" s="8" t="s">
        <v>45</v>
      </c>
      <c r="F8" s="8" t="s">
        <v>51</v>
      </c>
      <c r="G8" s="8" t="s">
        <v>22</v>
      </c>
      <c r="H8" s="2" t="s">
        <v>147</v>
      </c>
      <c r="I8" s="9">
        <f>COUNTIF('3.업무-문서매핑'!$B:$B,A12)</f>
        <v>6</v>
      </c>
      <c r="J8" s="8"/>
      <c r="K8" s="48" t="s">
        <v>18</v>
      </c>
      <c r="L8" s="49"/>
      <c r="M8" s="49"/>
      <c r="N8" s="49"/>
      <c r="O8" s="63" t="s">
        <v>148</v>
      </c>
    </row>
    <row r="9" spans="1:15" ht="30" customHeight="1">
      <c r="A9" s="11" t="s">
        <v>149</v>
      </c>
      <c r="B9" s="12" t="s">
        <v>150</v>
      </c>
      <c r="C9" s="13" t="s">
        <v>27</v>
      </c>
      <c r="D9" s="13" t="s">
        <v>38</v>
      </c>
      <c r="E9" s="13" t="s">
        <v>44</v>
      </c>
      <c r="F9" s="13" t="s">
        <v>50</v>
      </c>
      <c r="G9" s="13" t="s">
        <v>23</v>
      </c>
      <c r="H9" s="12" t="s">
        <v>151</v>
      </c>
      <c r="I9" s="14">
        <f>COUNTIF('3.업무-문서매핑'!$B:$B,A13)</f>
        <v>2</v>
      </c>
      <c r="J9" s="13"/>
      <c r="K9" s="48" t="s">
        <v>18</v>
      </c>
      <c r="L9" s="49"/>
      <c r="M9" s="49"/>
      <c r="N9" s="49"/>
      <c r="O9" s="63" t="s">
        <v>119</v>
      </c>
    </row>
    <row r="10" spans="1:15" ht="30" customHeight="1">
      <c r="A10" s="7" t="s">
        <v>152</v>
      </c>
      <c r="B10" s="2" t="s">
        <v>153</v>
      </c>
      <c r="C10" s="8" t="s">
        <v>29</v>
      </c>
      <c r="D10" s="8" t="s">
        <v>38</v>
      </c>
      <c r="E10" s="8" t="s">
        <v>45</v>
      </c>
      <c r="F10" s="8" t="s">
        <v>50</v>
      </c>
      <c r="G10" s="8" t="s">
        <v>23</v>
      </c>
      <c r="H10" s="2" t="s">
        <v>154</v>
      </c>
      <c r="I10" s="9">
        <f>COUNTIF('3.업무-문서매핑'!$B:$B,A14)</f>
        <v>2</v>
      </c>
      <c r="J10" s="10" t="s">
        <v>155</v>
      </c>
      <c r="K10" s="48" t="s">
        <v>18</v>
      </c>
      <c r="L10" s="49" t="s">
        <v>156</v>
      </c>
      <c r="M10" s="49" t="s">
        <v>157</v>
      </c>
      <c r="N10" s="49" t="s">
        <v>158</v>
      </c>
      <c r="O10" s="63" t="s">
        <v>119</v>
      </c>
    </row>
    <row r="11" spans="1:15" ht="30" customHeight="1">
      <c r="A11" s="11" t="s">
        <v>159</v>
      </c>
      <c r="B11" s="12" t="s">
        <v>160</v>
      </c>
      <c r="C11" s="13" t="s">
        <v>29</v>
      </c>
      <c r="D11" s="13" t="s">
        <v>38</v>
      </c>
      <c r="E11" s="13" t="s">
        <v>45</v>
      </c>
      <c r="F11" s="13" t="s">
        <v>50</v>
      </c>
      <c r="G11" s="13" t="s">
        <v>23</v>
      </c>
      <c r="H11" s="12" t="s">
        <v>161</v>
      </c>
      <c r="I11" s="14">
        <f>COUNTIF('3.업무-문서매핑'!$B:$B,A15)</f>
        <v>2</v>
      </c>
      <c r="J11" s="13"/>
      <c r="K11" s="48" t="s">
        <v>18</v>
      </c>
      <c r="L11" s="49" t="s">
        <v>162</v>
      </c>
      <c r="M11" s="49" t="s">
        <v>133</v>
      </c>
      <c r="N11" s="49" t="s">
        <v>134</v>
      </c>
      <c r="O11" s="63" t="s">
        <v>119</v>
      </c>
    </row>
    <row r="12" spans="1:15" ht="30" customHeight="1">
      <c r="A12" s="7" t="s">
        <v>163</v>
      </c>
      <c r="B12" s="2" t="s">
        <v>164</v>
      </c>
      <c r="C12" s="8" t="s">
        <v>29</v>
      </c>
      <c r="D12" s="8" t="s">
        <v>37</v>
      </c>
      <c r="E12" s="8" t="s">
        <v>47</v>
      </c>
      <c r="F12" s="8" t="s">
        <v>51</v>
      </c>
      <c r="G12" s="8" t="s">
        <v>22</v>
      </c>
      <c r="H12" s="2" t="s">
        <v>165</v>
      </c>
      <c r="I12" s="9">
        <f>COUNTIF('3.업무-문서매핑'!$B:$B,A16)</f>
        <v>3</v>
      </c>
      <c r="J12" s="10" t="s">
        <v>115</v>
      </c>
      <c r="K12" s="50" t="s">
        <v>19</v>
      </c>
      <c r="L12" s="49"/>
      <c r="M12" s="49"/>
      <c r="N12" s="49"/>
      <c r="O12" s="63" t="s">
        <v>119</v>
      </c>
    </row>
    <row r="13" spans="1:15" ht="30" customHeight="1">
      <c r="A13" s="11" t="s">
        <v>166</v>
      </c>
      <c r="B13" s="12" t="s">
        <v>167</v>
      </c>
      <c r="C13" s="13" t="s">
        <v>27</v>
      </c>
      <c r="D13" s="13" t="s">
        <v>37</v>
      </c>
      <c r="E13" s="13" t="s">
        <v>44</v>
      </c>
      <c r="F13" s="13" t="s">
        <v>50</v>
      </c>
      <c r="G13" s="13" t="s">
        <v>22</v>
      </c>
      <c r="H13" s="12" t="s">
        <v>168</v>
      </c>
      <c r="I13" s="14">
        <f>COUNTIF('3.업무-문서매핑'!$B:$B,A17)</f>
        <v>1</v>
      </c>
      <c r="J13" s="13"/>
      <c r="K13" s="48" t="s">
        <v>18</v>
      </c>
      <c r="L13" s="49" t="s">
        <v>169</v>
      </c>
      <c r="M13" s="49" t="s">
        <v>133</v>
      </c>
      <c r="N13" s="49" t="s">
        <v>134</v>
      </c>
      <c r="O13" s="63" t="s">
        <v>119</v>
      </c>
    </row>
    <row r="14" spans="1:15" ht="30" customHeight="1">
      <c r="A14" s="7" t="s">
        <v>170</v>
      </c>
      <c r="B14" s="2" t="s">
        <v>171</v>
      </c>
      <c r="C14" s="8" t="s">
        <v>27</v>
      </c>
      <c r="D14" s="8" t="s">
        <v>38</v>
      </c>
      <c r="E14" s="8" t="s">
        <v>44</v>
      </c>
      <c r="F14" s="8" t="s">
        <v>50</v>
      </c>
      <c r="G14" s="8" t="s">
        <v>22</v>
      </c>
      <c r="H14" s="2" t="s">
        <v>172</v>
      </c>
      <c r="I14" s="9">
        <f>COUNTIF('3.업무-문서매핑'!$B:$B,A18)</f>
        <v>0</v>
      </c>
      <c r="J14" s="8"/>
      <c r="K14" s="48" t="s">
        <v>18</v>
      </c>
      <c r="L14" s="49" t="s">
        <v>173</v>
      </c>
      <c r="M14" s="49" t="s">
        <v>133</v>
      </c>
      <c r="N14" s="49" t="s">
        <v>134</v>
      </c>
      <c r="O14" s="63" t="s">
        <v>119</v>
      </c>
    </row>
    <row r="15" spans="1:15" ht="30" customHeight="1">
      <c r="A15" s="11" t="s">
        <v>174</v>
      </c>
      <c r="B15" s="16" t="s">
        <v>175</v>
      </c>
      <c r="C15" s="13" t="s">
        <v>27</v>
      </c>
      <c r="D15" s="13" t="s">
        <v>38</v>
      </c>
      <c r="E15" s="13" t="s">
        <v>44</v>
      </c>
      <c r="F15" s="13" t="s">
        <v>50</v>
      </c>
      <c r="G15" s="13" t="s">
        <v>22</v>
      </c>
      <c r="H15" s="12" t="s">
        <v>176</v>
      </c>
      <c r="I15" s="14">
        <f>COUNTIF('3.업무-문서매핑'!$B:$B,A19)</f>
        <v>4</v>
      </c>
      <c r="J15" s="13"/>
      <c r="K15" s="50" t="s">
        <v>19</v>
      </c>
      <c r="L15" s="49"/>
      <c r="M15" s="49"/>
      <c r="N15" s="49"/>
      <c r="O15" s="63" t="s">
        <v>119</v>
      </c>
    </row>
    <row r="16" spans="1:15" ht="30" customHeight="1">
      <c r="A16" s="7" t="s">
        <v>177</v>
      </c>
      <c r="B16" s="2" t="s">
        <v>178</v>
      </c>
      <c r="C16" s="8" t="s">
        <v>29</v>
      </c>
      <c r="D16" s="8" t="s">
        <v>37</v>
      </c>
      <c r="E16" s="8" t="s">
        <v>44</v>
      </c>
      <c r="F16" s="8" t="s">
        <v>50</v>
      </c>
      <c r="G16" s="8" t="s">
        <v>24</v>
      </c>
      <c r="H16" s="2" t="s">
        <v>179</v>
      </c>
      <c r="I16" s="9">
        <f>COUNTIF('3.업무-문서매핑'!$B:$B,A20)</f>
        <v>3</v>
      </c>
      <c r="J16" s="10" t="s">
        <v>180</v>
      </c>
      <c r="K16" s="48" t="s">
        <v>18</v>
      </c>
      <c r="L16" s="49" t="s">
        <v>181</v>
      </c>
      <c r="M16" s="49" t="s">
        <v>182</v>
      </c>
      <c r="N16" s="49" t="s">
        <v>183</v>
      </c>
      <c r="O16" s="63" t="s">
        <v>119</v>
      </c>
    </row>
    <row r="17" spans="1:15" ht="30" customHeight="1">
      <c r="A17" s="11" t="s">
        <v>184</v>
      </c>
      <c r="B17" s="12" t="s">
        <v>185</v>
      </c>
      <c r="C17" s="13" t="s">
        <v>27</v>
      </c>
      <c r="D17" s="13" t="s">
        <v>37</v>
      </c>
      <c r="E17" s="13" t="s">
        <v>44</v>
      </c>
      <c r="F17" s="13" t="s">
        <v>50</v>
      </c>
      <c r="G17" s="13" t="s">
        <v>24</v>
      </c>
      <c r="H17" s="12" t="s">
        <v>186</v>
      </c>
      <c r="I17" s="14">
        <f>COUNTIF('3.업무-문서매핑'!$B:$B,A21)</f>
        <v>1</v>
      </c>
      <c r="J17" s="13"/>
      <c r="K17" s="48" t="s">
        <v>18</v>
      </c>
      <c r="L17" s="49" t="s">
        <v>187</v>
      </c>
      <c r="M17" s="49" t="s">
        <v>133</v>
      </c>
      <c r="N17" s="49" t="s">
        <v>134</v>
      </c>
      <c r="O17" s="63" t="s">
        <v>119</v>
      </c>
    </row>
    <row r="18" spans="1:15" ht="30" customHeight="1">
      <c r="A18" s="7" t="s">
        <v>188</v>
      </c>
      <c r="B18" s="2" t="s">
        <v>189</v>
      </c>
      <c r="C18" s="8" t="s">
        <v>29</v>
      </c>
      <c r="D18" s="8" t="s">
        <v>37</v>
      </c>
      <c r="E18" s="8" t="s">
        <v>47</v>
      </c>
      <c r="F18" s="8" t="s">
        <v>51</v>
      </c>
      <c r="G18" s="8" t="s">
        <v>22</v>
      </c>
      <c r="H18" s="2" t="s">
        <v>190</v>
      </c>
      <c r="I18" s="9">
        <f>COUNTIF('3.업무-문서매핑'!$B:$B,A22)</f>
        <v>2</v>
      </c>
      <c r="J18" s="8"/>
      <c r="K18" s="50" t="s">
        <v>19</v>
      </c>
      <c r="L18" s="49"/>
      <c r="M18" s="49"/>
      <c r="N18" s="49"/>
      <c r="O18" s="63" t="s">
        <v>119</v>
      </c>
    </row>
    <row r="19" spans="1:15" ht="30" customHeight="1">
      <c r="A19" s="11" t="s">
        <v>191</v>
      </c>
      <c r="B19" s="12" t="s">
        <v>192</v>
      </c>
      <c r="C19" s="13" t="s">
        <v>29</v>
      </c>
      <c r="D19" s="13" t="s">
        <v>37</v>
      </c>
      <c r="E19" s="13" t="s">
        <v>44</v>
      </c>
      <c r="F19" s="13" t="s">
        <v>51</v>
      </c>
      <c r="G19" s="13" t="s">
        <v>22</v>
      </c>
      <c r="H19" s="12" t="s">
        <v>193</v>
      </c>
      <c r="I19" s="14">
        <f>COUNTIF('3.업무-문서매핑'!$B:$B,A23)</f>
        <v>1</v>
      </c>
      <c r="J19" s="15" t="s">
        <v>115</v>
      </c>
      <c r="K19" s="50" t="s">
        <v>19</v>
      </c>
      <c r="L19" s="49" t="s">
        <v>194</v>
      </c>
      <c r="M19" s="49" t="s">
        <v>195</v>
      </c>
      <c r="N19" s="49" t="s">
        <v>196</v>
      </c>
      <c r="O19" s="63" t="s">
        <v>119</v>
      </c>
    </row>
    <row r="20" spans="1:15" ht="30" customHeight="1">
      <c r="A20" s="7" t="s">
        <v>197</v>
      </c>
      <c r="B20" s="2" t="s">
        <v>198</v>
      </c>
      <c r="C20" s="8" t="s">
        <v>29</v>
      </c>
      <c r="D20" s="8" t="s">
        <v>37</v>
      </c>
      <c r="E20" s="8" t="s">
        <v>45</v>
      </c>
      <c r="F20" s="8" t="s">
        <v>50</v>
      </c>
      <c r="G20" s="8" t="s">
        <v>22</v>
      </c>
      <c r="H20" s="2" t="s">
        <v>199</v>
      </c>
      <c r="I20" s="9">
        <f>COUNTIF('3.업무-문서매핑'!$B:$B,A24)</f>
        <v>1</v>
      </c>
      <c r="J20" s="10" t="s">
        <v>155</v>
      </c>
      <c r="K20" s="50" t="s">
        <v>19</v>
      </c>
      <c r="L20" s="49" t="s">
        <v>200</v>
      </c>
      <c r="M20" s="49" t="s">
        <v>201</v>
      </c>
      <c r="N20" s="49" t="s">
        <v>202</v>
      </c>
      <c r="O20" s="63" t="s">
        <v>148</v>
      </c>
    </row>
    <row r="21" spans="1:15" ht="30" customHeight="1">
      <c r="A21" s="11" t="s">
        <v>203</v>
      </c>
      <c r="B21" s="12" t="s">
        <v>204</v>
      </c>
      <c r="C21" s="13" t="s">
        <v>28</v>
      </c>
      <c r="D21" s="13" t="s">
        <v>37</v>
      </c>
      <c r="E21" s="13" t="s">
        <v>47</v>
      </c>
      <c r="F21" s="13" t="s">
        <v>51</v>
      </c>
      <c r="G21" s="13" t="s">
        <v>22</v>
      </c>
      <c r="H21" s="12" t="s">
        <v>205</v>
      </c>
      <c r="I21" s="14">
        <f>COUNTIF('3.업무-문서매핑'!$B:$B,A25)</f>
        <v>2</v>
      </c>
      <c r="J21" s="13"/>
      <c r="K21" s="48" t="s">
        <v>18</v>
      </c>
      <c r="L21" s="49" t="s">
        <v>206</v>
      </c>
      <c r="M21" s="49" t="s">
        <v>207</v>
      </c>
      <c r="N21" s="49" t="s">
        <v>208</v>
      </c>
      <c r="O21" s="63" t="s">
        <v>119</v>
      </c>
    </row>
    <row r="22" spans="1:15" ht="30" customHeight="1">
      <c r="A22" s="7" t="s">
        <v>209</v>
      </c>
      <c r="B22" s="2" t="s">
        <v>210</v>
      </c>
      <c r="C22" s="8" t="s">
        <v>29</v>
      </c>
      <c r="D22" s="8" t="s">
        <v>40</v>
      </c>
      <c r="E22" s="8" t="s">
        <v>46</v>
      </c>
      <c r="F22" s="8" t="s">
        <v>51</v>
      </c>
      <c r="G22" s="8" t="s">
        <v>22</v>
      </c>
      <c r="H22" s="2" t="s">
        <v>211</v>
      </c>
      <c r="I22" s="9">
        <f>COUNTIF('3.업무-문서매핑'!$B:$B,A26)</f>
        <v>1</v>
      </c>
      <c r="J22" s="8"/>
      <c r="K22" s="50" t="s">
        <v>19</v>
      </c>
      <c r="L22" s="49"/>
      <c r="M22" s="49"/>
      <c r="N22" s="49"/>
      <c r="O22" s="63" t="s">
        <v>119</v>
      </c>
    </row>
    <row r="23" spans="1:15" ht="30" customHeight="1">
      <c r="A23" s="7" t="s">
        <v>212</v>
      </c>
      <c r="B23" s="2" t="s">
        <v>213</v>
      </c>
      <c r="C23" s="8" t="s">
        <v>29</v>
      </c>
      <c r="D23" s="8" t="s">
        <v>42</v>
      </c>
      <c r="E23" s="8" t="s">
        <v>47</v>
      </c>
      <c r="F23" s="8" t="s">
        <v>51</v>
      </c>
      <c r="G23" s="8" t="s">
        <v>24</v>
      </c>
      <c r="H23" s="2" t="s">
        <v>214</v>
      </c>
      <c r="I23" s="9">
        <f>COUNTIF('3.업무-문서매핑'!$B:$B,A28)</f>
        <v>3</v>
      </c>
      <c r="J23" s="17" t="s">
        <v>215</v>
      </c>
      <c r="K23" s="48" t="s">
        <v>18</v>
      </c>
      <c r="L23" s="49" t="s">
        <v>216</v>
      </c>
      <c r="M23" s="49" t="s">
        <v>207</v>
      </c>
      <c r="N23" s="49" t="s">
        <v>208</v>
      </c>
      <c r="O23" s="63" t="s">
        <v>119</v>
      </c>
    </row>
    <row r="24" spans="1:15" ht="30" customHeight="1">
      <c r="A24" s="11" t="s">
        <v>217</v>
      </c>
      <c r="B24" s="12" t="s">
        <v>218</v>
      </c>
      <c r="C24" s="13" t="s">
        <v>29</v>
      </c>
      <c r="D24" s="13" t="s">
        <v>40</v>
      </c>
      <c r="E24" s="13" t="s">
        <v>44</v>
      </c>
      <c r="F24" s="13" t="s">
        <v>51</v>
      </c>
      <c r="G24" s="13" t="s">
        <v>22</v>
      </c>
      <c r="H24" s="12" t="s">
        <v>219</v>
      </c>
      <c r="I24" s="14">
        <f>COUNTIF('3.업무-문서매핑'!$B:$B,A29)</f>
        <v>2</v>
      </c>
      <c r="J24" s="13"/>
      <c r="K24" s="48" t="s">
        <v>18</v>
      </c>
      <c r="L24" s="49"/>
      <c r="M24" s="49"/>
      <c r="N24" s="49"/>
      <c r="O24" s="63" t="s">
        <v>119</v>
      </c>
    </row>
    <row r="25" spans="1:15" ht="30" customHeight="1">
      <c r="A25" s="7" t="s">
        <v>220</v>
      </c>
      <c r="B25" s="2" t="s">
        <v>221</v>
      </c>
      <c r="C25" s="8" t="s">
        <v>31</v>
      </c>
      <c r="D25" s="8" t="s">
        <v>35</v>
      </c>
      <c r="E25" s="8" t="s">
        <v>44</v>
      </c>
      <c r="F25" s="8" t="s">
        <v>50</v>
      </c>
      <c r="G25" s="8" t="s">
        <v>22</v>
      </c>
      <c r="H25" s="2" t="s">
        <v>222</v>
      </c>
      <c r="I25" s="9">
        <f>COUNTIF('3.업무-문서매핑'!$B:$B,A30)</f>
        <v>3</v>
      </c>
      <c r="J25" s="8"/>
      <c r="K25" s="48" t="s">
        <v>18</v>
      </c>
      <c r="L25" s="49" t="s">
        <v>223</v>
      </c>
      <c r="M25" s="49" t="s">
        <v>224</v>
      </c>
      <c r="N25" s="49" t="s">
        <v>225</v>
      </c>
      <c r="O25" s="63" t="s">
        <v>148</v>
      </c>
    </row>
    <row r="26" spans="1:15" ht="30" customHeight="1">
      <c r="A26" s="11" t="s">
        <v>226</v>
      </c>
      <c r="B26" s="12" t="s">
        <v>227</v>
      </c>
      <c r="C26" s="13" t="s">
        <v>28</v>
      </c>
      <c r="D26" s="13" t="s">
        <v>36</v>
      </c>
      <c r="E26" s="13" t="s">
        <v>45</v>
      </c>
      <c r="F26" s="13" t="s">
        <v>51</v>
      </c>
      <c r="G26" s="13" t="s">
        <v>22</v>
      </c>
      <c r="H26" s="12" t="s">
        <v>228</v>
      </c>
      <c r="I26" s="14">
        <f>COUNTIF('3.업무-문서매핑'!$B:$B,A31)</f>
        <v>1</v>
      </c>
      <c r="J26" s="13"/>
      <c r="K26" s="48" t="s">
        <v>18</v>
      </c>
      <c r="L26" s="49"/>
      <c r="M26" s="49"/>
      <c r="N26" s="49"/>
      <c r="O26" s="63" t="s">
        <v>148</v>
      </c>
    </row>
    <row r="27" spans="1:15" ht="30" customHeight="1">
      <c r="A27" s="7" t="s">
        <v>229</v>
      </c>
      <c r="B27" s="2" t="s">
        <v>230</v>
      </c>
      <c r="C27" s="8" t="s">
        <v>31</v>
      </c>
      <c r="D27" s="8" t="s">
        <v>35</v>
      </c>
      <c r="E27" s="8" t="s">
        <v>44</v>
      </c>
      <c r="F27" s="8" t="s">
        <v>50</v>
      </c>
      <c r="G27" s="8" t="s">
        <v>24</v>
      </c>
      <c r="H27" s="2" t="s">
        <v>231</v>
      </c>
      <c r="I27" s="9">
        <f>COUNTIF('3.업무-문서매핑'!$B:$B,A32)</f>
        <v>2</v>
      </c>
      <c r="J27" s="8"/>
      <c r="K27" s="48" t="s">
        <v>18</v>
      </c>
      <c r="L27" s="49"/>
      <c r="M27" s="49"/>
      <c r="N27" s="49"/>
      <c r="O27" s="63" t="s">
        <v>148</v>
      </c>
    </row>
    <row r="28" spans="1:15" ht="30" customHeight="1">
      <c r="A28" s="11" t="s">
        <v>232</v>
      </c>
      <c r="B28" s="12" t="s">
        <v>233</v>
      </c>
      <c r="C28" s="13" t="s">
        <v>31</v>
      </c>
      <c r="D28" s="13" t="s">
        <v>35</v>
      </c>
      <c r="E28" s="13" t="s">
        <v>44</v>
      </c>
      <c r="F28" s="13" t="s">
        <v>50</v>
      </c>
      <c r="G28" s="13" t="s">
        <v>24</v>
      </c>
      <c r="H28" s="12" t="s">
        <v>234</v>
      </c>
      <c r="I28" s="14">
        <f>COUNTIF('3.업무-문서매핑'!$B:$B,A33)</f>
        <v>1</v>
      </c>
      <c r="J28" s="13"/>
      <c r="K28" s="48" t="s">
        <v>18</v>
      </c>
      <c r="L28" s="49" t="s">
        <v>235</v>
      </c>
      <c r="M28" s="49" t="s">
        <v>236</v>
      </c>
      <c r="N28" s="49" t="s">
        <v>237</v>
      </c>
      <c r="O28" s="63" t="s">
        <v>148</v>
      </c>
    </row>
    <row r="29" spans="1:15" ht="30" customHeight="1">
      <c r="A29" s="7" t="s">
        <v>238</v>
      </c>
      <c r="B29" s="2" t="s">
        <v>239</v>
      </c>
      <c r="C29" s="8" t="s">
        <v>29</v>
      </c>
      <c r="D29" s="8" t="s">
        <v>35</v>
      </c>
      <c r="E29" s="8" t="s">
        <v>44</v>
      </c>
      <c r="F29" s="18" t="s">
        <v>52</v>
      </c>
      <c r="G29" s="8" t="s">
        <v>21</v>
      </c>
      <c r="H29" s="2" t="s">
        <v>240</v>
      </c>
      <c r="I29" s="9">
        <f>COUNTIF('3.업무-문서매핑'!$B:$B,A34)</f>
        <v>1</v>
      </c>
      <c r="J29" s="8"/>
      <c r="K29" s="48" t="s">
        <v>18</v>
      </c>
      <c r="L29" s="49" t="s">
        <v>241</v>
      </c>
      <c r="M29" s="49" t="s">
        <v>224</v>
      </c>
      <c r="N29" s="49" t="s">
        <v>225</v>
      </c>
      <c r="O29" s="63" t="s">
        <v>148</v>
      </c>
    </row>
    <row r="30" spans="1:15" ht="30" customHeight="1">
      <c r="A30" s="11" t="s">
        <v>242</v>
      </c>
      <c r="B30" s="12" t="s">
        <v>243</v>
      </c>
      <c r="C30" s="13" t="s">
        <v>29</v>
      </c>
      <c r="D30" s="13" t="s">
        <v>36</v>
      </c>
      <c r="E30" s="13" t="s">
        <v>46</v>
      </c>
      <c r="F30" s="13" t="s">
        <v>51</v>
      </c>
      <c r="G30" s="13" t="s">
        <v>21</v>
      </c>
      <c r="H30" s="12" t="s">
        <v>244</v>
      </c>
      <c r="I30" s="14">
        <f>COUNTIF('3.업무-문서매핑'!$B:$B,A35)</f>
        <v>1</v>
      </c>
      <c r="J30" s="15" t="s">
        <v>155</v>
      </c>
      <c r="K30" s="48" t="s">
        <v>18</v>
      </c>
      <c r="L30" s="49" t="s">
        <v>245</v>
      </c>
      <c r="M30" s="49" t="s">
        <v>246</v>
      </c>
      <c r="N30" s="49" t="s">
        <v>247</v>
      </c>
      <c r="O30" s="63" t="s">
        <v>148</v>
      </c>
    </row>
    <row r="31" spans="1:15" ht="30" customHeight="1">
      <c r="A31" s="7" t="s">
        <v>248</v>
      </c>
      <c r="B31" s="2" t="s">
        <v>249</v>
      </c>
      <c r="C31" s="8" t="s">
        <v>29</v>
      </c>
      <c r="D31" s="8" t="s">
        <v>36</v>
      </c>
      <c r="E31" s="8" t="s">
        <v>45</v>
      </c>
      <c r="F31" s="8" t="s">
        <v>51</v>
      </c>
      <c r="G31" s="8" t="s">
        <v>23</v>
      </c>
      <c r="H31" s="2" t="s">
        <v>250</v>
      </c>
      <c r="I31" s="9">
        <f>COUNTIF('3.업무-문서매핑'!$B:$B,A36)</f>
        <v>2</v>
      </c>
      <c r="J31" s="17" t="s">
        <v>251</v>
      </c>
      <c r="K31" s="48" t="s">
        <v>18</v>
      </c>
      <c r="L31" s="49" t="s">
        <v>252</v>
      </c>
      <c r="M31" s="49" t="s">
        <v>246</v>
      </c>
      <c r="N31" s="49" t="s">
        <v>247</v>
      </c>
      <c r="O31" s="63" t="s">
        <v>148</v>
      </c>
    </row>
    <row r="32" spans="1:15" ht="30" customHeight="1">
      <c r="A32" s="11" t="s">
        <v>253</v>
      </c>
      <c r="B32" s="12" t="s">
        <v>254</v>
      </c>
      <c r="C32" s="13" t="s">
        <v>31</v>
      </c>
      <c r="D32" s="13" t="s">
        <v>36</v>
      </c>
      <c r="E32" s="13" t="s">
        <v>45</v>
      </c>
      <c r="F32" s="13" t="s">
        <v>50</v>
      </c>
      <c r="G32" s="13" t="s">
        <v>23</v>
      </c>
      <c r="H32" s="12" t="s">
        <v>255</v>
      </c>
      <c r="I32" s="14">
        <f>COUNTIF('3.업무-문서매핑'!$B:$B,A37)</f>
        <v>0</v>
      </c>
      <c r="J32" s="13"/>
      <c r="K32" s="48" t="s">
        <v>18</v>
      </c>
      <c r="L32" s="49" t="s">
        <v>256</v>
      </c>
      <c r="M32" s="49" t="s">
        <v>246</v>
      </c>
      <c r="N32" s="49" t="s">
        <v>247</v>
      </c>
      <c r="O32" s="63" t="s">
        <v>148</v>
      </c>
    </row>
    <row r="33" spans="1:15" ht="30" customHeight="1">
      <c r="A33" s="7" t="s">
        <v>257</v>
      </c>
      <c r="B33" s="2" t="s">
        <v>258</v>
      </c>
      <c r="C33" s="8" t="s">
        <v>29</v>
      </c>
      <c r="D33" s="8" t="s">
        <v>36</v>
      </c>
      <c r="E33" s="8" t="s">
        <v>46</v>
      </c>
      <c r="F33" s="8" t="s">
        <v>51</v>
      </c>
      <c r="G33" s="8" t="s">
        <v>21</v>
      </c>
      <c r="H33" s="2" t="s">
        <v>259</v>
      </c>
      <c r="I33" s="9">
        <f>COUNTIF('3.업무-문서매핑'!$B:$B,A38)</f>
        <v>1</v>
      </c>
      <c r="J33" s="17" t="s">
        <v>260</v>
      </c>
      <c r="K33" s="48" t="s">
        <v>18</v>
      </c>
      <c r="L33" s="49" t="s">
        <v>245</v>
      </c>
      <c r="M33" s="49" t="s">
        <v>246</v>
      </c>
      <c r="N33" s="49" t="s">
        <v>247</v>
      </c>
      <c r="O33" s="63" t="s">
        <v>148</v>
      </c>
    </row>
    <row r="34" spans="1:15" ht="30" customHeight="1">
      <c r="A34" s="11" t="s">
        <v>261</v>
      </c>
      <c r="B34" s="12" t="s">
        <v>262</v>
      </c>
      <c r="C34" s="13" t="s">
        <v>29</v>
      </c>
      <c r="D34" s="13" t="s">
        <v>36</v>
      </c>
      <c r="E34" s="13" t="s">
        <v>46</v>
      </c>
      <c r="F34" s="13" t="s">
        <v>51</v>
      </c>
      <c r="G34" s="13" t="s">
        <v>21</v>
      </c>
      <c r="H34" s="12" t="s">
        <v>263</v>
      </c>
      <c r="I34" s="14">
        <f>COUNTIF('3.업무-문서매핑'!$B:$B,A39)</f>
        <v>4</v>
      </c>
      <c r="J34" s="13"/>
      <c r="K34" s="48" t="s">
        <v>18</v>
      </c>
      <c r="L34" s="49" t="s">
        <v>245</v>
      </c>
      <c r="M34" s="49" t="s">
        <v>246</v>
      </c>
      <c r="N34" s="49" t="s">
        <v>247</v>
      </c>
      <c r="O34" s="63" t="s">
        <v>148</v>
      </c>
    </row>
    <row r="35" spans="1:15" ht="30" customHeight="1">
      <c r="A35" s="7" t="s">
        <v>264</v>
      </c>
      <c r="B35" s="2" t="s">
        <v>265</v>
      </c>
      <c r="C35" s="8" t="s">
        <v>29</v>
      </c>
      <c r="D35" s="8" t="s">
        <v>36</v>
      </c>
      <c r="E35" s="8" t="s">
        <v>46</v>
      </c>
      <c r="F35" s="8" t="s">
        <v>51</v>
      </c>
      <c r="G35" s="8" t="s">
        <v>21</v>
      </c>
      <c r="H35" s="2" t="s">
        <v>266</v>
      </c>
      <c r="I35" s="9">
        <f>COUNTIF('3.업무-문서매핑'!$B:$B,A40)</f>
        <v>0</v>
      </c>
      <c r="J35" s="8"/>
      <c r="K35" s="48" t="s">
        <v>18</v>
      </c>
      <c r="L35" s="49" t="s">
        <v>267</v>
      </c>
      <c r="M35" s="49" t="s">
        <v>246</v>
      </c>
      <c r="N35" s="49" t="s">
        <v>247</v>
      </c>
      <c r="O35" s="63" t="s">
        <v>148</v>
      </c>
    </row>
    <row r="36" spans="1:15" ht="30" customHeight="1">
      <c r="A36" s="11" t="s">
        <v>268</v>
      </c>
      <c r="B36" s="12" t="s">
        <v>269</v>
      </c>
      <c r="C36" s="13" t="s">
        <v>28</v>
      </c>
      <c r="D36" s="13" t="s">
        <v>36</v>
      </c>
      <c r="E36" s="13" t="s">
        <v>46</v>
      </c>
      <c r="F36" s="13" t="s">
        <v>51</v>
      </c>
      <c r="G36" s="13" t="s">
        <v>21</v>
      </c>
      <c r="H36" s="12" t="s">
        <v>270</v>
      </c>
      <c r="I36" s="14">
        <f>COUNTIF('3.업무-문서매핑'!$B:$B,A41)</f>
        <v>3</v>
      </c>
      <c r="J36" s="13"/>
      <c r="K36" s="50" t="s">
        <v>19</v>
      </c>
      <c r="L36" s="49"/>
      <c r="M36" s="49"/>
      <c r="N36" s="49"/>
      <c r="O36" s="63" t="s">
        <v>119</v>
      </c>
    </row>
    <row r="37" spans="1:15" ht="30" customHeight="1">
      <c r="A37" s="7" t="s">
        <v>271</v>
      </c>
      <c r="B37" s="2" t="s">
        <v>272</v>
      </c>
      <c r="C37" s="8" t="s">
        <v>31</v>
      </c>
      <c r="D37" s="8" t="s">
        <v>35</v>
      </c>
      <c r="E37" s="8" t="s">
        <v>44</v>
      </c>
      <c r="F37" s="8" t="s">
        <v>50</v>
      </c>
      <c r="G37" s="8" t="s">
        <v>22</v>
      </c>
      <c r="H37" s="2" t="s">
        <v>273</v>
      </c>
      <c r="I37" s="9">
        <f>COUNTIF('3.업무-문서매핑'!$B:$B,A42)</f>
        <v>1</v>
      </c>
      <c r="J37" s="8"/>
      <c r="K37" s="48" t="s">
        <v>18</v>
      </c>
      <c r="L37" s="49" t="s">
        <v>274</v>
      </c>
      <c r="M37" s="49" t="s">
        <v>275</v>
      </c>
      <c r="N37" s="49" t="s">
        <v>276</v>
      </c>
      <c r="O37" s="63" t="s">
        <v>148</v>
      </c>
    </row>
    <row r="38" spans="1:15" ht="30" customHeight="1">
      <c r="A38" s="11" t="s">
        <v>277</v>
      </c>
      <c r="B38" s="12" t="s">
        <v>278</v>
      </c>
      <c r="C38" s="13" t="s">
        <v>31</v>
      </c>
      <c r="D38" s="13" t="s">
        <v>35</v>
      </c>
      <c r="E38" s="13" t="s">
        <v>44</v>
      </c>
      <c r="F38" s="13" t="s">
        <v>50</v>
      </c>
      <c r="G38" s="13" t="s">
        <v>22</v>
      </c>
      <c r="H38" s="12" t="s">
        <v>279</v>
      </c>
      <c r="I38" s="14">
        <f>COUNTIF('3.업무-문서매핑'!$B:$B,A43)</f>
        <v>3</v>
      </c>
      <c r="J38" s="13"/>
      <c r="K38" s="48" t="s">
        <v>18</v>
      </c>
      <c r="L38" s="49"/>
      <c r="M38" s="49"/>
      <c r="N38" s="49"/>
      <c r="O38" s="63" t="s">
        <v>148</v>
      </c>
    </row>
    <row r="39" spans="1:15" ht="30" customHeight="1">
      <c r="A39" s="7" t="s">
        <v>280</v>
      </c>
      <c r="B39" s="2" t="s">
        <v>281</v>
      </c>
      <c r="C39" s="8" t="s">
        <v>29</v>
      </c>
      <c r="D39" s="8" t="s">
        <v>39</v>
      </c>
      <c r="E39" s="8" t="s">
        <v>47</v>
      </c>
      <c r="F39" s="8" t="s">
        <v>51</v>
      </c>
      <c r="G39" s="8" t="s">
        <v>22</v>
      </c>
      <c r="H39" s="2" t="s">
        <v>282</v>
      </c>
      <c r="I39" s="9">
        <f>COUNTIF('3.업무-문서매핑'!$B:$B,A44)</f>
        <v>1</v>
      </c>
      <c r="J39" s="8"/>
      <c r="K39" s="48" t="s">
        <v>18</v>
      </c>
      <c r="L39" s="49"/>
      <c r="M39" s="49"/>
      <c r="N39" s="49"/>
      <c r="O39" s="63" t="s">
        <v>119</v>
      </c>
    </row>
    <row r="40" spans="1:15" ht="30" customHeight="1">
      <c r="A40" s="11" t="s">
        <v>283</v>
      </c>
      <c r="B40" s="12" t="s">
        <v>284</v>
      </c>
      <c r="C40" s="13" t="s">
        <v>29</v>
      </c>
      <c r="D40" s="13" t="s">
        <v>39</v>
      </c>
      <c r="E40" s="13" t="s">
        <v>46</v>
      </c>
      <c r="F40" s="13" t="s">
        <v>51</v>
      </c>
      <c r="G40" s="13" t="s">
        <v>22</v>
      </c>
      <c r="H40" s="12" t="s">
        <v>285</v>
      </c>
      <c r="I40" s="14">
        <f>COUNTIF('3.업무-문서매핑'!$B:$B,A45)</f>
        <v>3</v>
      </c>
      <c r="J40" s="13"/>
      <c r="K40" s="50" t="s">
        <v>19</v>
      </c>
      <c r="L40" s="49"/>
      <c r="M40" s="49"/>
      <c r="N40" s="49"/>
      <c r="O40" s="63" t="s">
        <v>119</v>
      </c>
    </row>
    <row r="41" spans="1:15" ht="30" customHeight="1">
      <c r="A41" s="7" t="s">
        <v>286</v>
      </c>
      <c r="B41" s="2" t="s">
        <v>287</v>
      </c>
      <c r="C41" s="8" t="s">
        <v>32</v>
      </c>
      <c r="D41" s="8" t="s">
        <v>38</v>
      </c>
      <c r="E41" s="8" t="s">
        <v>47</v>
      </c>
      <c r="F41" s="8" t="s">
        <v>51</v>
      </c>
      <c r="G41" s="8" t="s">
        <v>21</v>
      </c>
      <c r="H41" s="2" t="s">
        <v>288</v>
      </c>
      <c r="I41" s="9">
        <f>COUNTIF('3.업무-문서매핑'!$B:$B,A46)</f>
        <v>3</v>
      </c>
      <c r="J41" s="10" t="s">
        <v>155</v>
      </c>
      <c r="K41" s="48" t="s">
        <v>18</v>
      </c>
      <c r="L41" s="49" t="s">
        <v>289</v>
      </c>
      <c r="M41" s="49" t="s">
        <v>133</v>
      </c>
      <c r="N41" s="49" t="s">
        <v>134</v>
      </c>
      <c r="O41" s="63" t="s">
        <v>119</v>
      </c>
    </row>
    <row r="42" spans="1:15" ht="30" customHeight="1">
      <c r="A42" s="11" t="s">
        <v>290</v>
      </c>
      <c r="B42" s="12" t="s">
        <v>291</v>
      </c>
      <c r="C42" s="13" t="s">
        <v>29</v>
      </c>
      <c r="D42" s="13" t="s">
        <v>39</v>
      </c>
      <c r="E42" s="13" t="s">
        <v>46</v>
      </c>
      <c r="F42" s="13" t="s">
        <v>51</v>
      </c>
      <c r="G42" s="13" t="s">
        <v>21</v>
      </c>
      <c r="H42" s="12" t="s">
        <v>292</v>
      </c>
      <c r="I42" s="14">
        <f>COUNTIF('3.업무-문서매핑'!$B:$B,A47)</f>
        <v>3</v>
      </c>
      <c r="J42" s="13"/>
      <c r="K42" s="50" t="s">
        <v>19</v>
      </c>
      <c r="L42" s="49"/>
      <c r="M42" s="49"/>
      <c r="N42" s="49"/>
      <c r="O42" s="63" t="s">
        <v>119</v>
      </c>
    </row>
    <row r="43" spans="1:15" ht="30" customHeight="1">
      <c r="A43" s="7" t="s">
        <v>293</v>
      </c>
      <c r="B43" s="2" t="s">
        <v>294</v>
      </c>
      <c r="C43" s="8" t="s">
        <v>27</v>
      </c>
      <c r="D43" s="8" t="s">
        <v>38</v>
      </c>
      <c r="E43" s="8" t="s">
        <v>47</v>
      </c>
      <c r="F43" s="8" t="s">
        <v>50</v>
      </c>
      <c r="G43" s="8" t="s">
        <v>21</v>
      </c>
      <c r="H43" s="2" t="s">
        <v>295</v>
      </c>
      <c r="I43" s="9">
        <f>COUNTIF('3.업무-문서매핑'!$B:$B,A48)</f>
        <v>1</v>
      </c>
      <c r="J43" s="8"/>
      <c r="K43" s="50" t="s">
        <v>19</v>
      </c>
      <c r="L43" s="49" t="s">
        <v>296</v>
      </c>
      <c r="M43" s="49" t="s">
        <v>133</v>
      </c>
      <c r="N43" s="49" t="s">
        <v>134</v>
      </c>
      <c r="O43" s="63" t="s">
        <v>119</v>
      </c>
    </row>
    <row r="44" spans="1:15" ht="30" customHeight="1">
      <c r="A44" s="7" t="s">
        <v>297</v>
      </c>
      <c r="B44" s="2" t="s">
        <v>298</v>
      </c>
      <c r="C44" s="8" t="s">
        <v>27</v>
      </c>
      <c r="D44" s="8" t="s">
        <v>38</v>
      </c>
      <c r="E44" s="8" t="s">
        <v>44</v>
      </c>
      <c r="F44" s="8" t="s">
        <v>50</v>
      </c>
      <c r="G44" s="8" t="s">
        <v>21</v>
      </c>
      <c r="H44" s="2" t="s">
        <v>299</v>
      </c>
      <c r="I44" s="9">
        <f>COUNTIF('3.업무-문서매핑'!$B:$B,A50)</f>
        <v>7</v>
      </c>
      <c r="J44" s="8"/>
      <c r="K44" s="50" t="s">
        <v>19</v>
      </c>
      <c r="L44" s="49"/>
      <c r="M44" s="49"/>
      <c r="N44" s="49"/>
      <c r="O44" s="63" t="s">
        <v>119</v>
      </c>
    </row>
    <row r="45" spans="1:15" ht="30" customHeight="1">
      <c r="A45" s="11" t="s">
        <v>300</v>
      </c>
      <c r="B45" s="12" t="s">
        <v>301</v>
      </c>
      <c r="C45" s="13" t="s">
        <v>29</v>
      </c>
      <c r="D45" s="13" t="s">
        <v>40</v>
      </c>
      <c r="E45" s="13" t="s">
        <v>46</v>
      </c>
      <c r="F45" s="13" t="s">
        <v>51</v>
      </c>
      <c r="G45" s="13" t="s">
        <v>21</v>
      </c>
      <c r="H45" s="12" t="s">
        <v>302</v>
      </c>
      <c r="I45" s="14">
        <f>COUNTIF('3.업무-문서매핑'!$B:$B,A51)</f>
        <v>13</v>
      </c>
      <c r="J45" s="15" t="s">
        <v>155</v>
      </c>
      <c r="K45" s="50" t="s">
        <v>19</v>
      </c>
      <c r="L45" s="49"/>
      <c r="M45" s="49"/>
      <c r="N45" s="49"/>
      <c r="O45" s="63" t="s">
        <v>119</v>
      </c>
    </row>
    <row r="46" spans="1:15" ht="30" customHeight="1">
      <c r="A46" s="19" t="s">
        <v>303</v>
      </c>
      <c r="B46" s="20" t="s">
        <v>304</v>
      </c>
      <c r="C46" s="21" t="s">
        <v>28</v>
      </c>
      <c r="D46" s="21" t="s">
        <v>39</v>
      </c>
      <c r="E46" s="21" t="s">
        <v>46</v>
      </c>
      <c r="F46" s="21" t="s">
        <v>51</v>
      </c>
      <c r="G46" s="21" t="s">
        <v>22</v>
      </c>
      <c r="H46" s="22" t="s">
        <v>305</v>
      </c>
      <c r="I46" s="23">
        <f>COUNTIF('3.업무-문서매핑'!$B:$B,A52)</f>
        <v>2</v>
      </c>
      <c r="J46" s="24" t="s">
        <v>7</v>
      </c>
      <c r="K46" s="50" t="s">
        <v>19</v>
      </c>
      <c r="L46" s="49"/>
      <c r="M46" s="49"/>
      <c r="N46" s="49"/>
      <c r="O46" s="63" t="s">
        <v>119</v>
      </c>
    </row>
    <row r="47" spans="1:15" ht="30" customHeight="1">
      <c r="A47" s="19" t="s">
        <v>306</v>
      </c>
      <c r="B47" s="20" t="s">
        <v>307</v>
      </c>
      <c r="C47" s="21" t="s">
        <v>33</v>
      </c>
      <c r="D47" s="21" t="s">
        <v>39</v>
      </c>
      <c r="E47" s="21" t="s">
        <v>46</v>
      </c>
      <c r="F47" s="21" t="s">
        <v>51</v>
      </c>
      <c r="G47" s="21" t="s">
        <v>24</v>
      </c>
      <c r="H47" s="22" t="s">
        <v>308</v>
      </c>
      <c r="I47" s="23">
        <f>COUNTIF('3.업무-문서매핑'!$B:$B,A53)</f>
        <v>4</v>
      </c>
      <c r="J47" s="24" t="s">
        <v>7</v>
      </c>
      <c r="K47" s="48" t="s">
        <v>18</v>
      </c>
      <c r="L47" s="49"/>
      <c r="M47" s="49"/>
      <c r="N47" s="49"/>
      <c r="O47" s="63" t="s">
        <v>119</v>
      </c>
    </row>
    <row r="48" spans="1:15" ht="30" customHeight="1">
      <c r="A48" s="7" t="s">
        <v>309</v>
      </c>
      <c r="B48" s="2" t="s">
        <v>310</v>
      </c>
      <c r="C48" s="8" t="s">
        <v>29</v>
      </c>
      <c r="D48" s="8" t="s">
        <v>40</v>
      </c>
      <c r="E48" s="8" t="s">
        <v>47</v>
      </c>
      <c r="F48" s="18" t="s">
        <v>52</v>
      </c>
      <c r="G48" s="8" t="s">
        <v>21</v>
      </c>
      <c r="H48" s="2" t="s">
        <v>311</v>
      </c>
      <c r="I48" s="9">
        <f>COUNTIF('3.업무-문서매핑'!$B:$B,A54)</f>
        <v>4</v>
      </c>
      <c r="J48" s="8"/>
      <c r="K48" s="50" t="s">
        <v>19</v>
      </c>
      <c r="L48" s="49"/>
      <c r="M48" s="49"/>
      <c r="N48" s="49"/>
      <c r="O48" s="63" t="s">
        <v>119</v>
      </c>
    </row>
    <row r="49" spans="1:15" ht="30" customHeight="1">
      <c r="A49" s="7" t="s">
        <v>312</v>
      </c>
      <c r="B49" s="2" t="s">
        <v>313</v>
      </c>
      <c r="C49" s="8" t="s">
        <v>29</v>
      </c>
      <c r="D49" s="8" t="s">
        <v>40</v>
      </c>
      <c r="E49" s="8" t="s">
        <v>46</v>
      </c>
      <c r="F49" s="8" t="s">
        <v>51</v>
      </c>
      <c r="G49" s="8" t="s">
        <v>21</v>
      </c>
      <c r="H49" s="2" t="s">
        <v>314</v>
      </c>
      <c r="I49" s="9">
        <f>COUNTIF('3.업무-문서매핑'!$B:$B,A56)</f>
        <v>2</v>
      </c>
      <c r="J49" s="8"/>
      <c r="K49" s="50" t="s">
        <v>19</v>
      </c>
      <c r="L49" s="49"/>
      <c r="M49" s="49"/>
      <c r="N49" s="49"/>
      <c r="O49" s="63" t="s">
        <v>119</v>
      </c>
    </row>
    <row r="50" spans="1:15" ht="30" customHeight="1">
      <c r="A50" s="19" t="s">
        <v>315</v>
      </c>
      <c r="B50" s="20" t="s">
        <v>316</v>
      </c>
      <c r="C50" s="21" t="s">
        <v>29</v>
      </c>
      <c r="D50" s="21" t="s">
        <v>42</v>
      </c>
      <c r="E50" s="21" t="s">
        <v>45</v>
      </c>
      <c r="F50" s="25" t="s">
        <v>52</v>
      </c>
      <c r="G50" s="21" t="s">
        <v>21</v>
      </c>
      <c r="H50" s="22" t="s">
        <v>317</v>
      </c>
      <c r="I50" s="23">
        <f>COUNTIF('3.업무-문서매핑'!$B:$B,A57)</f>
        <v>2</v>
      </c>
      <c r="J50" s="24" t="s">
        <v>7</v>
      </c>
      <c r="K50" s="50" t="s">
        <v>19</v>
      </c>
      <c r="L50" s="49"/>
      <c r="M50" s="49"/>
      <c r="N50" s="49"/>
      <c r="O50" s="63" t="s">
        <v>119</v>
      </c>
    </row>
    <row r="51" spans="1:15" ht="30" customHeight="1">
      <c r="A51" s="19" t="s">
        <v>318</v>
      </c>
      <c r="B51" s="20" t="s">
        <v>319</v>
      </c>
      <c r="C51" s="21" t="s">
        <v>29</v>
      </c>
      <c r="D51" s="21" t="s">
        <v>39</v>
      </c>
      <c r="E51" s="21" t="s">
        <v>46</v>
      </c>
      <c r="F51" s="21" t="s">
        <v>51</v>
      </c>
      <c r="G51" s="21" t="s">
        <v>21</v>
      </c>
      <c r="H51" s="22" t="s">
        <v>320</v>
      </c>
      <c r="I51" s="23">
        <f>COUNTIF('3.업무-문서매핑'!$B:$B,A58)</f>
        <v>1</v>
      </c>
      <c r="J51" s="24" t="s">
        <v>7</v>
      </c>
      <c r="K51" s="50" t="s">
        <v>19</v>
      </c>
      <c r="L51" s="49"/>
      <c r="M51" s="49"/>
      <c r="N51" s="49"/>
      <c r="O51" s="63" t="s">
        <v>119</v>
      </c>
    </row>
    <row r="52" spans="1:15" ht="30" customHeight="1">
      <c r="A52" s="11" t="s">
        <v>321</v>
      </c>
      <c r="B52" s="12" t="s">
        <v>322</v>
      </c>
      <c r="C52" s="13" t="s">
        <v>30</v>
      </c>
      <c r="D52" s="13" t="s">
        <v>41</v>
      </c>
      <c r="E52" s="13" t="s">
        <v>47</v>
      </c>
      <c r="F52" s="13" t="s">
        <v>50</v>
      </c>
      <c r="G52" s="13" t="s">
        <v>25</v>
      </c>
      <c r="H52" s="12" t="s">
        <v>323</v>
      </c>
      <c r="I52" s="14">
        <f>COUNTIF('3.업무-문서매핑'!$B:$B,A59)</f>
        <v>1</v>
      </c>
      <c r="J52" s="13"/>
      <c r="K52" s="48" t="s">
        <v>18</v>
      </c>
      <c r="L52" s="49" t="s">
        <v>324</v>
      </c>
      <c r="M52" s="49" t="s">
        <v>325</v>
      </c>
      <c r="N52" s="49" t="s">
        <v>326</v>
      </c>
      <c r="O52" s="63" t="s">
        <v>148</v>
      </c>
    </row>
    <row r="53" spans="1:15" ht="30" customHeight="1">
      <c r="A53" s="7" t="s">
        <v>327</v>
      </c>
      <c r="B53" s="2" t="s">
        <v>328</v>
      </c>
      <c r="C53" s="8" t="s">
        <v>30</v>
      </c>
      <c r="D53" s="8" t="s">
        <v>41</v>
      </c>
      <c r="E53" s="8" t="s">
        <v>46</v>
      </c>
      <c r="F53" s="8" t="s">
        <v>50</v>
      </c>
      <c r="G53" s="8" t="s">
        <v>25</v>
      </c>
      <c r="H53" s="2" t="s">
        <v>329</v>
      </c>
      <c r="I53" s="9">
        <f>COUNTIF('3.업무-문서매핑'!$B:$B,A60)</f>
        <v>1</v>
      </c>
      <c r="J53" s="10" t="s">
        <v>330</v>
      </c>
      <c r="K53" s="48" t="s">
        <v>18</v>
      </c>
      <c r="L53" s="49"/>
      <c r="M53" s="49"/>
      <c r="N53" s="49"/>
      <c r="O53" s="63" t="s">
        <v>148</v>
      </c>
    </row>
    <row r="54" spans="1:15" ht="30" customHeight="1">
      <c r="A54" s="11" t="s">
        <v>331</v>
      </c>
      <c r="B54" s="12" t="s">
        <v>332</v>
      </c>
      <c r="C54" s="13" t="s">
        <v>30</v>
      </c>
      <c r="D54" s="13" t="s">
        <v>41</v>
      </c>
      <c r="E54" s="13" t="s">
        <v>45</v>
      </c>
      <c r="F54" s="13" t="s">
        <v>50</v>
      </c>
      <c r="G54" s="13" t="s">
        <v>25</v>
      </c>
      <c r="H54" s="12" t="s">
        <v>333</v>
      </c>
      <c r="I54" s="14">
        <f>COUNTIF('3.업무-문서매핑'!$B:$B,A61)</f>
        <v>1</v>
      </c>
      <c r="J54" s="13"/>
      <c r="K54" s="48" t="s">
        <v>18</v>
      </c>
      <c r="L54" s="49" t="s">
        <v>334</v>
      </c>
      <c r="M54" s="49" t="s">
        <v>335</v>
      </c>
      <c r="N54" s="49" t="s">
        <v>326</v>
      </c>
      <c r="O54" s="63" t="s">
        <v>148</v>
      </c>
    </row>
    <row r="55" spans="1:15" ht="30" customHeight="1">
      <c r="A55" s="7" t="s">
        <v>336</v>
      </c>
      <c r="B55" s="2" t="s">
        <v>337</v>
      </c>
      <c r="C55" s="8" t="s">
        <v>30</v>
      </c>
      <c r="D55" s="8" t="s">
        <v>37</v>
      </c>
      <c r="E55" s="8" t="s">
        <v>47</v>
      </c>
      <c r="F55" s="8" t="s">
        <v>50</v>
      </c>
      <c r="G55" s="8" t="s">
        <v>25</v>
      </c>
      <c r="H55" s="2" t="s">
        <v>338</v>
      </c>
      <c r="I55" s="9">
        <f>COUNTIF('3.업무-문서매핑'!$B:$B,A62)</f>
        <v>2</v>
      </c>
      <c r="J55" s="8"/>
      <c r="K55" s="48" t="s">
        <v>18</v>
      </c>
      <c r="L55" s="49" t="s">
        <v>339</v>
      </c>
      <c r="M55" s="49" t="s">
        <v>340</v>
      </c>
      <c r="N55" s="49" t="s">
        <v>341</v>
      </c>
      <c r="O55" s="63" t="s">
        <v>119</v>
      </c>
    </row>
    <row r="56" spans="1:15" ht="30" customHeight="1">
      <c r="A56" s="11" t="s">
        <v>342</v>
      </c>
      <c r="B56" s="12" t="s">
        <v>343</v>
      </c>
      <c r="C56" s="13" t="s">
        <v>30</v>
      </c>
      <c r="D56" s="13" t="s">
        <v>41</v>
      </c>
      <c r="E56" s="13" t="s">
        <v>44</v>
      </c>
      <c r="F56" s="13" t="s">
        <v>50</v>
      </c>
      <c r="G56" s="13" t="s">
        <v>25</v>
      </c>
      <c r="H56" s="12" t="s">
        <v>344</v>
      </c>
      <c r="I56" s="14">
        <f>COUNTIF('3.업무-문서매핑'!$B:$B,A63)</f>
        <v>1</v>
      </c>
      <c r="J56" s="13"/>
      <c r="K56" s="48" t="s">
        <v>18</v>
      </c>
      <c r="L56" s="49" t="s">
        <v>345</v>
      </c>
      <c r="M56" s="49" t="s">
        <v>325</v>
      </c>
      <c r="N56" s="49" t="s">
        <v>326</v>
      </c>
      <c r="O56" s="63" t="s">
        <v>119</v>
      </c>
    </row>
    <row r="57" spans="1:15" ht="30" customHeight="1">
      <c r="A57" s="7" t="s">
        <v>346</v>
      </c>
      <c r="B57" s="2" t="s">
        <v>347</v>
      </c>
      <c r="C57" s="8" t="s">
        <v>30</v>
      </c>
      <c r="D57" s="8" t="s">
        <v>41</v>
      </c>
      <c r="E57" s="8" t="s">
        <v>45</v>
      </c>
      <c r="F57" s="8" t="s">
        <v>50</v>
      </c>
      <c r="G57" s="8" t="s">
        <v>25</v>
      </c>
      <c r="H57" s="2" t="s">
        <v>348</v>
      </c>
      <c r="I57" s="9">
        <f>COUNTIF('3.업무-문서매핑'!$B:$B,A64)</f>
        <v>1</v>
      </c>
      <c r="J57" s="8"/>
      <c r="K57" s="48" t="s">
        <v>18</v>
      </c>
      <c r="L57" s="49" t="s">
        <v>349</v>
      </c>
      <c r="M57" s="49" t="s">
        <v>350</v>
      </c>
      <c r="N57" s="49" t="s">
        <v>351</v>
      </c>
      <c r="O57" s="63" t="s">
        <v>148</v>
      </c>
    </row>
    <row r="58" spans="1:15" ht="30" customHeight="1">
      <c r="A58" s="11" t="s">
        <v>352</v>
      </c>
      <c r="B58" s="12" t="s">
        <v>353</v>
      </c>
      <c r="C58" s="13" t="s">
        <v>30</v>
      </c>
      <c r="D58" s="13" t="s">
        <v>41</v>
      </c>
      <c r="E58" s="13" t="s">
        <v>44</v>
      </c>
      <c r="F58" s="13" t="s">
        <v>50</v>
      </c>
      <c r="G58" s="13" t="s">
        <v>25</v>
      </c>
      <c r="H58" s="12" t="s">
        <v>354</v>
      </c>
      <c r="I58" s="14">
        <f>COUNTIF('3.업무-문서매핑'!$B:$B,A65)</f>
        <v>2</v>
      </c>
      <c r="J58" s="13"/>
      <c r="K58" s="48" t="s">
        <v>18</v>
      </c>
      <c r="L58" s="49"/>
      <c r="M58" s="49"/>
      <c r="N58" s="49"/>
      <c r="O58" s="63" t="s">
        <v>148</v>
      </c>
    </row>
    <row r="59" spans="1:15" ht="30" customHeight="1">
      <c r="A59" s="7" t="s">
        <v>355</v>
      </c>
      <c r="B59" s="2" t="s">
        <v>356</v>
      </c>
      <c r="C59" s="8" t="s">
        <v>30</v>
      </c>
      <c r="D59" s="8" t="s">
        <v>41</v>
      </c>
      <c r="E59" s="8" t="s">
        <v>46</v>
      </c>
      <c r="F59" s="8" t="s">
        <v>50</v>
      </c>
      <c r="G59" s="8" t="s">
        <v>25</v>
      </c>
      <c r="H59" s="2" t="s">
        <v>357</v>
      </c>
      <c r="I59" s="9">
        <f>COUNTIF('3.업무-문서매핑'!$B:$B,A66)</f>
        <v>0</v>
      </c>
      <c r="J59" s="8"/>
      <c r="K59" s="48" t="s">
        <v>18</v>
      </c>
      <c r="L59" s="49" t="s">
        <v>358</v>
      </c>
      <c r="M59" s="49" t="s">
        <v>325</v>
      </c>
      <c r="N59" s="49" t="s">
        <v>326</v>
      </c>
      <c r="O59" s="63" t="s">
        <v>148</v>
      </c>
    </row>
    <row r="60" spans="1:15" ht="30" customHeight="1">
      <c r="A60" s="11" t="s">
        <v>359</v>
      </c>
      <c r="B60" s="12" t="s">
        <v>360</v>
      </c>
      <c r="C60" s="13" t="s">
        <v>30</v>
      </c>
      <c r="D60" s="13" t="s">
        <v>41</v>
      </c>
      <c r="E60" s="13" t="s">
        <v>48</v>
      </c>
      <c r="F60" s="13" t="s">
        <v>50</v>
      </c>
      <c r="G60" s="13" t="s">
        <v>25</v>
      </c>
      <c r="H60" s="12" t="s">
        <v>361</v>
      </c>
      <c r="I60" s="14">
        <f>COUNTIF('3.업무-문서매핑'!$B:$B,A67)</f>
        <v>1</v>
      </c>
      <c r="J60" s="13"/>
      <c r="K60" s="48" t="s">
        <v>18</v>
      </c>
      <c r="L60" s="49"/>
      <c r="M60" s="49"/>
      <c r="N60" s="49"/>
      <c r="O60" s="63" t="s">
        <v>119</v>
      </c>
    </row>
    <row r="61" spans="1:15" ht="30" customHeight="1">
      <c r="A61" s="7" t="s">
        <v>362</v>
      </c>
      <c r="B61" s="2" t="s">
        <v>363</v>
      </c>
      <c r="C61" s="8" t="s">
        <v>27</v>
      </c>
      <c r="D61" s="8" t="s">
        <v>37</v>
      </c>
      <c r="E61" s="8" t="s">
        <v>44</v>
      </c>
      <c r="F61" s="8" t="s">
        <v>50</v>
      </c>
      <c r="G61" s="8" t="s">
        <v>23</v>
      </c>
      <c r="H61" s="2" t="s">
        <v>364</v>
      </c>
      <c r="I61" s="9">
        <f>COUNTIF('3.업무-문서매핑'!$B:$B,A68)</f>
        <v>4</v>
      </c>
      <c r="J61" s="8"/>
      <c r="K61" s="48" t="s">
        <v>18</v>
      </c>
      <c r="L61" s="49"/>
      <c r="M61" s="49"/>
      <c r="N61" s="49"/>
      <c r="O61" s="63" t="s">
        <v>119</v>
      </c>
    </row>
    <row r="62" spans="1:15" ht="30" customHeight="1">
      <c r="A62" s="11" t="s">
        <v>365</v>
      </c>
      <c r="B62" s="12" t="s">
        <v>366</v>
      </c>
      <c r="C62" s="13" t="s">
        <v>27</v>
      </c>
      <c r="D62" s="13" t="s">
        <v>37</v>
      </c>
      <c r="E62" s="13" t="s">
        <v>46</v>
      </c>
      <c r="F62" s="13" t="s">
        <v>50</v>
      </c>
      <c r="G62" s="13" t="s">
        <v>23</v>
      </c>
      <c r="H62" s="12" t="s">
        <v>367</v>
      </c>
      <c r="I62" s="14">
        <f>COUNTIF('3.업무-문서매핑'!$B:$B,A69)</f>
        <v>1</v>
      </c>
      <c r="J62" s="13"/>
      <c r="K62" s="48" t="s">
        <v>18</v>
      </c>
      <c r="L62" s="49"/>
      <c r="M62" s="49"/>
      <c r="N62" s="49"/>
      <c r="O62" s="63" t="s">
        <v>148</v>
      </c>
    </row>
    <row r="63" spans="1:15" ht="30" customHeight="1">
      <c r="A63" s="7" t="s">
        <v>368</v>
      </c>
      <c r="B63" s="2" t="s">
        <v>369</v>
      </c>
      <c r="C63" s="8" t="s">
        <v>31</v>
      </c>
      <c r="D63" s="8" t="s">
        <v>37</v>
      </c>
      <c r="E63" s="8" t="s">
        <v>48</v>
      </c>
      <c r="F63" s="8" t="s">
        <v>48</v>
      </c>
      <c r="G63" s="8" t="s">
        <v>23</v>
      </c>
      <c r="H63" s="2" t="s">
        <v>370</v>
      </c>
      <c r="I63" s="9">
        <f>COUNTIF('3.업무-문서매핑'!$B:$B,A70)</f>
        <v>2</v>
      </c>
      <c r="J63" s="8"/>
      <c r="K63" s="48" t="s">
        <v>18</v>
      </c>
      <c r="L63" s="49"/>
      <c r="M63" s="49"/>
      <c r="N63" s="49"/>
      <c r="O63" s="63" t="s">
        <v>119</v>
      </c>
    </row>
    <row r="64" spans="1:15" ht="30" customHeight="1">
      <c r="A64" s="11" t="s">
        <v>371</v>
      </c>
      <c r="B64" s="12" t="s">
        <v>372</v>
      </c>
      <c r="C64" s="13" t="s">
        <v>29</v>
      </c>
      <c r="D64" s="13" t="s">
        <v>37</v>
      </c>
      <c r="E64" s="13" t="s">
        <v>47</v>
      </c>
      <c r="F64" s="13" t="s">
        <v>50</v>
      </c>
      <c r="G64" s="13" t="s">
        <v>21</v>
      </c>
      <c r="H64" s="12" t="s">
        <v>373</v>
      </c>
      <c r="I64" s="14">
        <f>COUNTIF('3.업무-문서매핑'!$B:$B,A71)</f>
        <v>2</v>
      </c>
      <c r="J64" s="13"/>
      <c r="K64" s="50" t="s">
        <v>19</v>
      </c>
      <c r="L64" s="49" t="s">
        <v>374</v>
      </c>
      <c r="M64" s="49" t="s">
        <v>375</v>
      </c>
      <c r="N64" s="49" t="s">
        <v>202</v>
      </c>
      <c r="O64" s="63" t="s">
        <v>148</v>
      </c>
    </row>
    <row r="65" spans="1:15" ht="30" customHeight="1">
      <c r="A65" s="11" t="s">
        <v>376</v>
      </c>
      <c r="B65" s="12" t="s">
        <v>377</v>
      </c>
      <c r="C65" s="13" t="s">
        <v>29</v>
      </c>
      <c r="D65" s="13" t="s">
        <v>42</v>
      </c>
      <c r="E65" s="13" t="s">
        <v>46</v>
      </c>
      <c r="F65" s="26" t="s">
        <v>52</v>
      </c>
      <c r="G65" s="13" t="s">
        <v>21</v>
      </c>
      <c r="H65" s="12" t="s">
        <v>378</v>
      </c>
      <c r="I65" s="14">
        <f>COUNTIF('3.업무-문서매핑'!$B:$B,A73)</f>
        <v>2</v>
      </c>
      <c r="J65" s="13"/>
      <c r="K65" s="50" t="s">
        <v>19</v>
      </c>
      <c r="L65" s="49" t="s">
        <v>379</v>
      </c>
      <c r="M65" s="49" t="s">
        <v>380</v>
      </c>
      <c r="N65" s="49" t="s">
        <v>381</v>
      </c>
      <c r="O65" s="63" t="s">
        <v>119</v>
      </c>
    </row>
    <row r="66" spans="1:15" ht="30" customHeight="1">
      <c r="A66" s="7" t="s">
        <v>382</v>
      </c>
      <c r="B66" s="2" t="s">
        <v>383</v>
      </c>
      <c r="C66" s="8" t="s">
        <v>29</v>
      </c>
      <c r="D66" s="8" t="s">
        <v>42</v>
      </c>
      <c r="E66" s="8" t="s">
        <v>45</v>
      </c>
      <c r="F66" s="18" t="s">
        <v>52</v>
      </c>
      <c r="G66" s="8" t="s">
        <v>21</v>
      </c>
      <c r="H66" s="2" t="s">
        <v>384</v>
      </c>
      <c r="I66" s="9">
        <f>COUNTIF('3.업무-문서매핑'!$B:$B,A74)</f>
        <v>2</v>
      </c>
      <c r="J66" s="8"/>
      <c r="K66" s="50" t="s">
        <v>19</v>
      </c>
      <c r="L66" s="49"/>
      <c r="M66" s="49"/>
      <c r="N66" s="49"/>
      <c r="O66" s="63" t="s">
        <v>119</v>
      </c>
    </row>
    <row r="67" spans="1:15" ht="30" customHeight="1">
      <c r="A67" s="11" t="s">
        <v>385</v>
      </c>
      <c r="B67" s="12" t="s">
        <v>386</v>
      </c>
      <c r="C67" s="13" t="s">
        <v>29</v>
      </c>
      <c r="D67" s="13" t="s">
        <v>40</v>
      </c>
      <c r="E67" s="13" t="s">
        <v>46</v>
      </c>
      <c r="F67" s="26" t="s">
        <v>52</v>
      </c>
      <c r="G67" s="13" t="s">
        <v>21</v>
      </c>
      <c r="H67" s="12" t="s">
        <v>387</v>
      </c>
      <c r="I67" s="14">
        <f>COUNTIF('3.업무-문서매핑'!$B:$B,A75)</f>
        <v>1</v>
      </c>
      <c r="J67" s="13"/>
      <c r="K67" s="50" t="s">
        <v>19</v>
      </c>
      <c r="L67" s="49"/>
      <c r="M67" s="49"/>
      <c r="N67" s="49"/>
      <c r="O67" s="63" t="s">
        <v>119</v>
      </c>
    </row>
    <row r="68" spans="1:15" ht="30" customHeight="1">
      <c r="A68" s="7" t="s">
        <v>388</v>
      </c>
      <c r="B68" s="2" t="s">
        <v>389</v>
      </c>
      <c r="C68" s="8" t="s">
        <v>29</v>
      </c>
      <c r="D68" s="8" t="s">
        <v>37</v>
      </c>
      <c r="E68" s="8" t="s">
        <v>47</v>
      </c>
      <c r="F68" s="8" t="s">
        <v>51</v>
      </c>
      <c r="G68" s="8" t="s">
        <v>21</v>
      </c>
      <c r="H68" s="2" t="s">
        <v>390</v>
      </c>
      <c r="I68" s="9">
        <f>COUNTIF('3.업무-문서매핑'!$B:$B,A76)</f>
        <v>2</v>
      </c>
      <c r="J68" s="10" t="s">
        <v>155</v>
      </c>
      <c r="K68" s="50" t="s">
        <v>19</v>
      </c>
      <c r="L68" s="49" t="s">
        <v>374</v>
      </c>
      <c r="M68" s="49" t="s">
        <v>375</v>
      </c>
      <c r="N68" s="49" t="s">
        <v>202</v>
      </c>
      <c r="O68" s="63" t="s">
        <v>119</v>
      </c>
    </row>
    <row r="69" spans="1:15" ht="30" customHeight="1">
      <c r="A69" s="11" t="s">
        <v>391</v>
      </c>
      <c r="B69" s="12" t="s">
        <v>392</v>
      </c>
      <c r="C69" s="13" t="s">
        <v>27</v>
      </c>
      <c r="D69" s="13" t="s">
        <v>42</v>
      </c>
      <c r="E69" s="13" t="s">
        <v>45</v>
      </c>
      <c r="F69" s="26" t="s">
        <v>52</v>
      </c>
      <c r="G69" s="13" t="s">
        <v>21</v>
      </c>
      <c r="H69" s="12" t="s">
        <v>393</v>
      </c>
      <c r="I69" s="14">
        <f>COUNTIF('3.업무-문서매핑'!$B:$B,A77)</f>
        <v>2</v>
      </c>
      <c r="J69" s="13"/>
      <c r="K69" s="50" t="s">
        <v>19</v>
      </c>
      <c r="L69" s="49"/>
      <c r="M69" s="49"/>
      <c r="N69" s="49"/>
      <c r="O69" s="63" t="s">
        <v>119</v>
      </c>
    </row>
    <row r="70" spans="1:15" ht="30" customHeight="1">
      <c r="A70" s="7" t="s">
        <v>394</v>
      </c>
      <c r="B70" s="2" t="s">
        <v>395</v>
      </c>
      <c r="C70" s="8" t="s">
        <v>27</v>
      </c>
      <c r="D70" s="8" t="s">
        <v>42</v>
      </c>
      <c r="E70" s="8" t="s">
        <v>45</v>
      </c>
      <c r="F70" s="18" t="s">
        <v>52</v>
      </c>
      <c r="G70" s="8" t="s">
        <v>21</v>
      </c>
      <c r="H70" s="2" t="s">
        <v>396</v>
      </c>
      <c r="I70" s="9">
        <f>COUNTIF('3.업무-문서매핑'!$B:$B,A78)</f>
        <v>2</v>
      </c>
      <c r="J70" s="10" t="s">
        <v>397</v>
      </c>
      <c r="K70" s="50" t="s">
        <v>19</v>
      </c>
      <c r="L70" s="49" t="s">
        <v>398</v>
      </c>
      <c r="M70" s="49" t="s">
        <v>399</v>
      </c>
      <c r="N70" s="49" t="s">
        <v>400</v>
      </c>
      <c r="O70" s="63" t="s">
        <v>119</v>
      </c>
    </row>
    <row r="71" spans="1:15" ht="30" customHeight="1">
      <c r="A71" s="11" t="s">
        <v>401</v>
      </c>
      <c r="B71" s="12" t="s">
        <v>402</v>
      </c>
      <c r="C71" s="13" t="s">
        <v>29</v>
      </c>
      <c r="D71" s="13" t="s">
        <v>42</v>
      </c>
      <c r="E71" s="13" t="s">
        <v>45</v>
      </c>
      <c r="F71" s="26" t="s">
        <v>52</v>
      </c>
      <c r="G71" s="13" t="s">
        <v>21</v>
      </c>
      <c r="H71" s="12" t="s">
        <v>403</v>
      </c>
      <c r="I71" s="14">
        <f>COUNTIF('3.업무-문서매핑'!$B:$B,A79)</f>
        <v>1</v>
      </c>
      <c r="J71" s="13"/>
      <c r="K71" s="50" t="s">
        <v>19</v>
      </c>
      <c r="L71" s="49"/>
      <c r="M71" s="49"/>
      <c r="N71" s="49"/>
      <c r="O71" s="63" t="s">
        <v>119</v>
      </c>
    </row>
    <row r="72" spans="1:15" ht="30" customHeight="1">
      <c r="A72" s="7" t="s">
        <v>404</v>
      </c>
      <c r="B72" s="2" t="s">
        <v>405</v>
      </c>
      <c r="C72" s="8" t="s">
        <v>29</v>
      </c>
      <c r="D72" s="8" t="s">
        <v>37</v>
      </c>
      <c r="E72" s="8" t="s">
        <v>47</v>
      </c>
      <c r="F72" s="8" t="s">
        <v>51</v>
      </c>
      <c r="G72" s="8" t="s">
        <v>21</v>
      </c>
      <c r="H72" s="2" t="s">
        <v>406</v>
      </c>
      <c r="I72" s="9">
        <f>COUNTIF('3.업무-문서매핑'!$B:$B,A80)</f>
        <v>2</v>
      </c>
      <c r="J72" s="8"/>
      <c r="K72" s="50" t="s">
        <v>19</v>
      </c>
      <c r="L72" s="49" t="s">
        <v>407</v>
      </c>
      <c r="M72" s="49" t="s">
        <v>408</v>
      </c>
      <c r="N72" s="49" t="s">
        <v>208</v>
      </c>
      <c r="O72" s="63" t="s">
        <v>119</v>
      </c>
    </row>
    <row r="73" spans="1:15" ht="30" customHeight="1">
      <c r="A73" s="11" t="s">
        <v>409</v>
      </c>
      <c r="B73" s="12" t="s">
        <v>410</v>
      </c>
      <c r="C73" s="13" t="s">
        <v>29</v>
      </c>
      <c r="D73" s="13" t="s">
        <v>37</v>
      </c>
      <c r="E73" s="13" t="s">
        <v>47</v>
      </c>
      <c r="F73" s="13" t="s">
        <v>51</v>
      </c>
      <c r="G73" s="13" t="s">
        <v>21</v>
      </c>
      <c r="H73" s="12" t="s">
        <v>411</v>
      </c>
      <c r="I73" s="14">
        <f>COUNTIF('3.업무-문서매핑'!$B:$B,A81)</f>
        <v>1</v>
      </c>
      <c r="J73" s="13"/>
      <c r="K73" s="50" t="s">
        <v>19</v>
      </c>
      <c r="L73" s="49" t="s">
        <v>412</v>
      </c>
      <c r="M73" s="49" t="s">
        <v>413</v>
      </c>
      <c r="N73" s="49" t="s">
        <v>208</v>
      </c>
      <c r="O73" s="63" t="s">
        <v>119</v>
      </c>
    </row>
    <row r="74" spans="1:15" ht="30" customHeight="1">
      <c r="A74" s="7" t="s">
        <v>414</v>
      </c>
      <c r="B74" s="2" t="s">
        <v>415</v>
      </c>
      <c r="C74" s="8" t="s">
        <v>29</v>
      </c>
      <c r="D74" s="8" t="s">
        <v>37</v>
      </c>
      <c r="E74" s="8" t="s">
        <v>45</v>
      </c>
      <c r="F74" s="8" t="s">
        <v>51</v>
      </c>
      <c r="G74" s="8" t="s">
        <v>21</v>
      </c>
      <c r="H74" s="2" t="s">
        <v>416</v>
      </c>
      <c r="I74" s="9">
        <f>COUNTIF('3.업무-문서매핑'!$B:$B,A82)</f>
        <v>1</v>
      </c>
      <c r="J74" s="8"/>
      <c r="K74" s="50" t="s">
        <v>19</v>
      </c>
      <c r="L74" s="49" t="s">
        <v>417</v>
      </c>
      <c r="M74" s="49" t="s">
        <v>418</v>
      </c>
      <c r="N74" s="49" t="s">
        <v>419</v>
      </c>
      <c r="O74" s="63" t="s">
        <v>119</v>
      </c>
    </row>
    <row r="75" spans="1:15" ht="30" customHeight="1">
      <c r="A75" s="11" t="s">
        <v>420</v>
      </c>
      <c r="B75" s="12" t="s">
        <v>421</v>
      </c>
      <c r="C75" s="13" t="s">
        <v>28</v>
      </c>
      <c r="D75" s="13" t="s">
        <v>36</v>
      </c>
      <c r="E75" s="13" t="s">
        <v>46</v>
      </c>
      <c r="F75" s="13" t="s">
        <v>51</v>
      </c>
      <c r="G75" s="13" t="s">
        <v>22</v>
      </c>
      <c r="H75" s="12" t="s">
        <v>422</v>
      </c>
      <c r="I75" s="14">
        <f>COUNTIF('3.업무-문서매핑'!$B:$B,A83)</f>
        <v>3</v>
      </c>
      <c r="J75" s="13"/>
      <c r="K75" s="50" t="s">
        <v>19</v>
      </c>
      <c r="L75" s="49"/>
      <c r="M75" s="49"/>
      <c r="N75" s="49"/>
      <c r="O75" s="63" t="s">
        <v>119</v>
      </c>
    </row>
    <row r="76" spans="1:15" ht="30" customHeight="1">
      <c r="A76" s="7" t="s">
        <v>423</v>
      </c>
      <c r="B76" s="2" t="s">
        <v>424</v>
      </c>
      <c r="C76" s="8" t="s">
        <v>27</v>
      </c>
      <c r="D76" s="8" t="s">
        <v>38</v>
      </c>
      <c r="E76" s="8" t="s">
        <v>44</v>
      </c>
      <c r="F76" s="8" t="s">
        <v>51</v>
      </c>
      <c r="G76" s="8" t="s">
        <v>21</v>
      </c>
      <c r="H76" s="2" t="s">
        <v>425</v>
      </c>
      <c r="I76" s="9">
        <f>COUNTIF('3.업무-문서매핑'!$B:$B,A84)</f>
        <v>1</v>
      </c>
      <c r="J76" s="8"/>
      <c r="K76" s="50" t="s">
        <v>19</v>
      </c>
      <c r="L76" s="49" t="s">
        <v>426</v>
      </c>
      <c r="M76" s="49" t="s">
        <v>427</v>
      </c>
      <c r="N76" s="49" t="s">
        <v>419</v>
      </c>
      <c r="O76" s="63" t="s">
        <v>119</v>
      </c>
    </row>
    <row r="77" spans="1:15" ht="30" customHeight="1">
      <c r="A77" s="11" t="s">
        <v>428</v>
      </c>
      <c r="B77" s="12" t="s">
        <v>429</v>
      </c>
      <c r="C77" s="13" t="s">
        <v>27</v>
      </c>
      <c r="D77" s="13" t="s">
        <v>38</v>
      </c>
      <c r="E77" s="13" t="s">
        <v>44</v>
      </c>
      <c r="F77" s="13" t="s">
        <v>50</v>
      </c>
      <c r="G77" s="13" t="s">
        <v>21</v>
      </c>
      <c r="H77" s="12" t="s">
        <v>430</v>
      </c>
      <c r="I77" s="14">
        <f>COUNTIF('3.업무-문서매핑'!$B:$B,A85)</f>
        <v>1</v>
      </c>
      <c r="J77" s="13"/>
      <c r="K77" s="50" t="s">
        <v>19</v>
      </c>
      <c r="L77" s="49" t="s">
        <v>431</v>
      </c>
      <c r="M77" s="49" t="s">
        <v>432</v>
      </c>
      <c r="N77" s="49" t="s">
        <v>208</v>
      </c>
      <c r="O77" s="63" t="s">
        <v>119</v>
      </c>
    </row>
    <row r="78" spans="1:15" ht="30" customHeight="1">
      <c r="A78" s="7" t="s">
        <v>433</v>
      </c>
      <c r="B78" s="2" t="s">
        <v>434</v>
      </c>
      <c r="C78" s="8" t="s">
        <v>29</v>
      </c>
      <c r="D78" s="8" t="s">
        <v>37</v>
      </c>
      <c r="E78" s="8" t="s">
        <v>47</v>
      </c>
      <c r="F78" s="8" t="s">
        <v>51</v>
      </c>
      <c r="G78" s="8" t="s">
        <v>21</v>
      </c>
      <c r="H78" s="2" t="s">
        <v>435</v>
      </c>
      <c r="I78" s="9">
        <f>COUNTIF('3.업무-문서매핑'!$B:$B,A86)</f>
        <v>1</v>
      </c>
      <c r="J78" s="17" t="s">
        <v>436</v>
      </c>
      <c r="K78" s="50" t="s">
        <v>19</v>
      </c>
      <c r="L78" s="49" t="s">
        <v>437</v>
      </c>
      <c r="M78" s="49" t="s">
        <v>438</v>
      </c>
      <c r="N78" s="49" t="s">
        <v>439</v>
      </c>
      <c r="O78" s="63" t="s">
        <v>119</v>
      </c>
    </row>
    <row r="79" spans="1:15" ht="30" customHeight="1">
      <c r="A79" s="11" t="s">
        <v>440</v>
      </c>
      <c r="B79" s="12" t="s">
        <v>441</v>
      </c>
      <c r="C79" s="13" t="s">
        <v>32</v>
      </c>
      <c r="D79" s="13" t="s">
        <v>42</v>
      </c>
      <c r="E79" s="13" t="s">
        <v>46</v>
      </c>
      <c r="F79" s="13" t="s">
        <v>51</v>
      </c>
      <c r="G79" s="13" t="s">
        <v>21</v>
      </c>
      <c r="H79" s="12" t="s">
        <v>442</v>
      </c>
      <c r="I79" s="14">
        <f>COUNTIF('3.업무-문서매핑'!$B:$B,A87)</f>
        <v>1</v>
      </c>
      <c r="J79" s="13"/>
      <c r="K79" s="50" t="s">
        <v>19</v>
      </c>
      <c r="L79" s="49"/>
      <c r="M79" s="49"/>
      <c r="N79" s="49"/>
      <c r="O79" s="63" t="s">
        <v>119</v>
      </c>
    </row>
    <row r="80" spans="1:15" ht="30" customHeight="1">
      <c r="A80" s="7" t="s">
        <v>443</v>
      </c>
      <c r="B80" s="2" t="s">
        <v>444</v>
      </c>
      <c r="C80" s="8" t="s">
        <v>32</v>
      </c>
      <c r="D80" s="8" t="s">
        <v>38</v>
      </c>
      <c r="E80" s="8" t="s">
        <v>46</v>
      </c>
      <c r="F80" s="8" t="s">
        <v>51</v>
      </c>
      <c r="G80" s="8" t="s">
        <v>21</v>
      </c>
      <c r="H80" s="2" t="s">
        <v>445</v>
      </c>
      <c r="I80" s="9">
        <f>COUNTIF('3.업무-문서매핑'!$B:$B,A88)</f>
        <v>1</v>
      </c>
      <c r="J80" s="8"/>
      <c r="K80" s="50" t="s">
        <v>19</v>
      </c>
      <c r="L80" s="49"/>
      <c r="M80" s="49"/>
      <c r="N80" s="49"/>
      <c r="O80" s="63" t="s">
        <v>119</v>
      </c>
    </row>
    <row r="81" spans="1:15" ht="30" customHeight="1">
      <c r="A81" s="11" t="s">
        <v>446</v>
      </c>
      <c r="B81" s="12" t="s">
        <v>447</v>
      </c>
      <c r="C81" s="13" t="s">
        <v>31</v>
      </c>
      <c r="D81" s="13" t="s">
        <v>42</v>
      </c>
      <c r="E81" s="13" t="s">
        <v>46</v>
      </c>
      <c r="F81" s="13" t="s">
        <v>50</v>
      </c>
      <c r="G81" s="13" t="s">
        <v>21</v>
      </c>
      <c r="H81" s="12" t="s">
        <v>448</v>
      </c>
      <c r="I81" s="14">
        <f>COUNTIF('3.업무-문서매핑'!$B:$B,A89)</f>
        <v>0</v>
      </c>
      <c r="J81" s="13"/>
      <c r="K81" s="48" t="s">
        <v>18</v>
      </c>
      <c r="L81" s="49" t="s">
        <v>449</v>
      </c>
      <c r="M81" s="49" t="s">
        <v>399</v>
      </c>
      <c r="N81" s="49" t="s">
        <v>400</v>
      </c>
      <c r="O81" s="63" t="s">
        <v>119</v>
      </c>
    </row>
    <row r="82" spans="1:15" ht="30" customHeight="1">
      <c r="A82" s="7" t="s">
        <v>450</v>
      </c>
      <c r="B82" s="2" t="s">
        <v>451</v>
      </c>
      <c r="C82" s="8" t="s">
        <v>29</v>
      </c>
      <c r="D82" s="8" t="s">
        <v>36</v>
      </c>
      <c r="E82" s="8" t="s">
        <v>46</v>
      </c>
      <c r="F82" s="8" t="s">
        <v>51</v>
      </c>
      <c r="G82" s="8" t="s">
        <v>23</v>
      </c>
      <c r="H82" s="2" t="s">
        <v>452</v>
      </c>
      <c r="I82" s="9">
        <f>COUNTIF('3.업무-문서매핑'!$B:$B,A90)</f>
        <v>1</v>
      </c>
      <c r="J82" s="8"/>
      <c r="K82" s="48" t="s">
        <v>18</v>
      </c>
      <c r="L82" s="49" t="s">
        <v>453</v>
      </c>
      <c r="M82" s="49" t="s">
        <v>454</v>
      </c>
      <c r="N82" s="49" t="s">
        <v>455</v>
      </c>
      <c r="O82" s="63" t="s">
        <v>148</v>
      </c>
    </row>
    <row r="83" spans="1:15" ht="30" customHeight="1">
      <c r="A83" s="11" t="s">
        <v>456</v>
      </c>
      <c r="B83" s="12" t="s">
        <v>457</v>
      </c>
      <c r="C83" s="13" t="s">
        <v>29</v>
      </c>
      <c r="D83" s="13" t="s">
        <v>42</v>
      </c>
      <c r="E83" s="13" t="s">
        <v>46</v>
      </c>
      <c r="F83" s="26" t="s">
        <v>52</v>
      </c>
      <c r="G83" s="13" t="s">
        <v>21</v>
      </c>
      <c r="H83" s="12" t="s">
        <v>458</v>
      </c>
      <c r="I83" s="14">
        <f>COUNTIF('3.업무-문서매핑'!$B:$B,A91)</f>
        <v>0</v>
      </c>
      <c r="J83" s="13"/>
      <c r="K83" s="50" t="s">
        <v>19</v>
      </c>
      <c r="L83" s="49"/>
      <c r="M83" s="49"/>
      <c r="N83" s="49"/>
      <c r="O83" s="63" t="s">
        <v>119</v>
      </c>
    </row>
    <row r="84" spans="1:15" ht="30" customHeight="1">
      <c r="A84" s="7" t="s">
        <v>459</v>
      </c>
      <c r="B84" s="2" t="s">
        <v>460</v>
      </c>
      <c r="C84" s="8" t="s">
        <v>31</v>
      </c>
      <c r="D84" s="8" t="s">
        <v>35</v>
      </c>
      <c r="E84" s="8" t="s">
        <v>45</v>
      </c>
      <c r="F84" s="8" t="s">
        <v>51</v>
      </c>
      <c r="G84" s="8" t="s">
        <v>24</v>
      </c>
      <c r="H84" s="2" t="s">
        <v>461</v>
      </c>
      <c r="I84" s="9">
        <f>COUNTIF('3.업무-문서매핑'!$B:$B,A92)</f>
        <v>1</v>
      </c>
      <c r="J84" s="8"/>
      <c r="K84" s="48" t="s">
        <v>18</v>
      </c>
      <c r="L84" s="49"/>
      <c r="M84" s="49"/>
      <c r="N84" s="49"/>
      <c r="O84" s="63" t="s">
        <v>148</v>
      </c>
    </row>
    <row r="85" spans="1:15" ht="30" customHeight="1">
      <c r="A85" s="11" t="s">
        <v>462</v>
      </c>
      <c r="B85" s="12" t="s">
        <v>463</v>
      </c>
      <c r="C85" s="13" t="s">
        <v>29</v>
      </c>
      <c r="D85" s="13" t="s">
        <v>42</v>
      </c>
      <c r="E85" s="13" t="s">
        <v>47</v>
      </c>
      <c r="F85" s="13" t="s">
        <v>51</v>
      </c>
      <c r="G85" s="13" t="s">
        <v>24</v>
      </c>
      <c r="H85" s="12" t="s">
        <v>464</v>
      </c>
      <c r="I85" s="14">
        <f>COUNTIF('3.업무-문서매핑'!$B:$B,A93)</f>
        <v>1</v>
      </c>
      <c r="J85" s="13"/>
      <c r="K85" s="48" t="s">
        <v>18</v>
      </c>
      <c r="L85" s="49"/>
      <c r="M85" s="49"/>
      <c r="N85" s="49"/>
      <c r="O85" s="63" t="s">
        <v>148</v>
      </c>
    </row>
    <row r="86" spans="1:15" ht="30" customHeight="1">
      <c r="A86" s="7" t="s">
        <v>465</v>
      </c>
      <c r="B86" s="2" t="s">
        <v>466</v>
      </c>
      <c r="C86" s="8" t="s">
        <v>29</v>
      </c>
      <c r="D86" s="8" t="s">
        <v>42</v>
      </c>
      <c r="E86" s="8" t="s">
        <v>47</v>
      </c>
      <c r="F86" s="8" t="s">
        <v>51</v>
      </c>
      <c r="G86" s="8" t="s">
        <v>23</v>
      </c>
      <c r="H86" s="2" t="s">
        <v>467</v>
      </c>
      <c r="I86" s="9">
        <f>COUNTIF('3.업무-문서매핑'!$B:$B,A94)</f>
        <v>1</v>
      </c>
      <c r="J86" s="8"/>
      <c r="K86" s="48" t="s">
        <v>18</v>
      </c>
      <c r="L86" s="49"/>
      <c r="M86" s="49"/>
      <c r="N86" s="49"/>
      <c r="O86" s="63" t="s">
        <v>148</v>
      </c>
    </row>
    <row r="87" spans="1:15" ht="30" customHeight="1">
      <c r="A87" s="11" t="s">
        <v>468</v>
      </c>
      <c r="B87" s="12" t="s">
        <v>469</v>
      </c>
      <c r="C87" s="13" t="s">
        <v>29</v>
      </c>
      <c r="D87" s="13" t="s">
        <v>39</v>
      </c>
      <c r="E87" s="13" t="s">
        <v>45</v>
      </c>
      <c r="F87" s="13" t="s">
        <v>51</v>
      </c>
      <c r="G87" s="13" t="s">
        <v>24</v>
      </c>
      <c r="H87" s="12" t="s">
        <v>470</v>
      </c>
      <c r="I87" s="14">
        <f>COUNTIF('3.업무-문서매핑'!$B:$B,A95)</f>
        <v>1</v>
      </c>
      <c r="J87" s="13"/>
      <c r="K87" s="48" t="s">
        <v>18</v>
      </c>
      <c r="L87" s="49"/>
      <c r="M87" s="49"/>
      <c r="N87" s="49"/>
      <c r="O87" s="63" t="s">
        <v>119</v>
      </c>
    </row>
    <row r="88" spans="1:15" ht="30" customHeight="1">
      <c r="A88" s="11" t="s">
        <v>471</v>
      </c>
      <c r="B88" s="12" t="s">
        <v>472</v>
      </c>
      <c r="C88" s="13" t="s">
        <v>29</v>
      </c>
      <c r="D88" s="13" t="s">
        <v>40</v>
      </c>
      <c r="E88" s="13" t="s">
        <v>46</v>
      </c>
      <c r="F88" s="13" t="s">
        <v>51</v>
      </c>
      <c r="G88" s="13" t="s">
        <v>22</v>
      </c>
      <c r="H88" s="12" t="s">
        <v>473</v>
      </c>
      <c r="I88" s="14">
        <f>COUNTIF('3.업무-문서매핑'!$B:$B,A97)</f>
        <v>1</v>
      </c>
      <c r="J88" s="13"/>
      <c r="K88" s="50" t="s">
        <v>19</v>
      </c>
      <c r="L88" s="49"/>
      <c r="M88" s="49"/>
      <c r="N88" s="49"/>
      <c r="O88" s="63" t="s">
        <v>119</v>
      </c>
    </row>
    <row r="89" spans="1:15" ht="30" customHeight="1">
      <c r="A89" s="7" t="s">
        <v>474</v>
      </c>
      <c r="B89" s="2" t="s">
        <v>475</v>
      </c>
      <c r="C89" s="8" t="s">
        <v>28</v>
      </c>
      <c r="D89" s="8" t="s">
        <v>40</v>
      </c>
      <c r="E89" s="8" t="s">
        <v>47</v>
      </c>
      <c r="F89" s="8" t="s">
        <v>51</v>
      </c>
      <c r="G89" s="8" t="s">
        <v>22</v>
      </c>
      <c r="H89" s="2" t="s">
        <v>476</v>
      </c>
      <c r="I89" s="9">
        <f>COUNTIF('3.업무-문서매핑'!$B:$B,A98)</f>
        <v>0</v>
      </c>
      <c r="J89" s="8"/>
      <c r="K89" s="50" t="s">
        <v>19</v>
      </c>
      <c r="L89" s="49"/>
      <c r="M89" s="49"/>
      <c r="N89" s="49"/>
      <c r="O89" s="63" t="s">
        <v>119</v>
      </c>
    </row>
    <row r="90" spans="1:15" ht="30" customHeight="1">
      <c r="A90" s="11" t="s">
        <v>477</v>
      </c>
      <c r="B90" s="12" t="s">
        <v>478</v>
      </c>
      <c r="C90" s="13" t="s">
        <v>31</v>
      </c>
      <c r="D90" s="13" t="s">
        <v>39</v>
      </c>
      <c r="E90" s="13" t="s">
        <v>44</v>
      </c>
      <c r="F90" s="13" t="s">
        <v>51</v>
      </c>
      <c r="G90" s="13" t="s">
        <v>22</v>
      </c>
      <c r="H90" s="12" t="s">
        <v>479</v>
      </c>
      <c r="I90" s="14">
        <f>COUNTIF('3.업무-문서매핑'!$B:$B,A99)</f>
        <v>0</v>
      </c>
      <c r="J90" s="13"/>
      <c r="K90" s="48" t="s">
        <v>18</v>
      </c>
      <c r="L90" s="49"/>
      <c r="M90" s="49"/>
      <c r="N90" s="49"/>
      <c r="O90" s="63" t="s">
        <v>148</v>
      </c>
    </row>
    <row r="91" spans="1:15" ht="30" customHeight="1">
      <c r="A91" s="7" t="s">
        <v>480</v>
      </c>
      <c r="B91" s="2" t="s">
        <v>481</v>
      </c>
      <c r="C91" s="8" t="s">
        <v>28</v>
      </c>
      <c r="D91" s="8" t="s">
        <v>38</v>
      </c>
      <c r="E91" s="8" t="s">
        <v>47</v>
      </c>
      <c r="F91" s="8" t="s">
        <v>51</v>
      </c>
      <c r="G91" s="8" t="s">
        <v>22</v>
      </c>
      <c r="H91" s="2" t="s">
        <v>482</v>
      </c>
      <c r="I91" s="9">
        <f>COUNTIF('3.업무-문서매핑'!$B:$B,A100)</f>
        <v>0</v>
      </c>
      <c r="J91" s="8"/>
      <c r="K91" s="48" t="s">
        <v>18</v>
      </c>
      <c r="L91" s="49" t="s">
        <v>483</v>
      </c>
      <c r="M91" s="49" t="s">
        <v>133</v>
      </c>
      <c r="N91" s="49" t="s">
        <v>134</v>
      </c>
      <c r="O91" s="63" t="s">
        <v>119</v>
      </c>
    </row>
    <row r="92" spans="1:15" ht="30" customHeight="1">
      <c r="A92" s="11" t="s">
        <v>484</v>
      </c>
      <c r="B92" s="12" t="s">
        <v>485</v>
      </c>
      <c r="C92" s="13" t="s">
        <v>29</v>
      </c>
      <c r="D92" s="13" t="s">
        <v>42</v>
      </c>
      <c r="E92" s="13" t="s">
        <v>48</v>
      </c>
      <c r="F92" s="13" t="s">
        <v>51</v>
      </c>
      <c r="G92" s="13" t="s">
        <v>21</v>
      </c>
      <c r="H92" s="12" t="s">
        <v>486</v>
      </c>
      <c r="I92" s="14">
        <f>COUNTIF('3.업무-문서매핑'!$B:$B,A101)</f>
        <v>0</v>
      </c>
      <c r="J92" s="13"/>
      <c r="K92" s="50" t="s">
        <v>19</v>
      </c>
      <c r="L92" s="49"/>
      <c r="M92" s="49"/>
      <c r="N92" s="49"/>
      <c r="O92" s="63" t="s">
        <v>119</v>
      </c>
    </row>
    <row r="93" spans="1:15" ht="30" customHeight="1">
      <c r="A93" s="7" t="s">
        <v>487</v>
      </c>
      <c r="B93" s="2" t="s">
        <v>488</v>
      </c>
      <c r="C93" s="8" t="s">
        <v>29</v>
      </c>
      <c r="D93" s="8" t="s">
        <v>42</v>
      </c>
      <c r="E93" s="8" t="s">
        <v>46</v>
      </c>
      <c r="F93" s="18" t="s">
        <v>52</v>
      </c>
      <c r="G93" s="8" t="s">
        <v>21</v>
      </c>
      <c r="H93" s="2" t="s">
        <v>489</v>
      </c>
      <c r="I93" s="9">
        <f>COUNTIF('3.업무-문서매핑'!$B:$B,A102)</f>
        <v>0</v>
      </c>
      <c r="J93" s="8"/>
      <c r="K93" s="50" t="s">
        <v>19</v>
      </c>
      <c r="L93" s="49"/>
      <c r="M93" s="49"/>
      <c r="N93" s="49"/>
      <c r="O93" s="63" t="s">
        <v>119</v>
      </c>
    </row>
    <row r="94" spans="1:15" ht="30" customHeight="1">
      <c r="A94" s="11" t="s">
        <v>490</v>
      </c>
      <c r="B94" s="12" t="s">
        <v>491</v>
      </c>
      <c r="C94" s="13" t="s">
        <v>29</v>
      </c>
      <c r="D94" s="13" t="s">
        <v>40</v>
      </c>
      <c r="E94" s="13" t="s">
        <v>46</v>
      </c>
      <c r="F94" s="13" t="s">
        <v>51</v>
      </c>
      <c r="G94" s="13" t="s">
        <v>21</v>
      </c>
      <c r="H94" s="12" t="s">
        <v>492</v>
      </c>
      <c r="I94" s="14">
        <f>COUNTIF('3.업무-문서매핑'!$B:$B,A103)</f>
        <v>0</v>
      </c>
      <c r="J94" s="13"/>
      <c r="K94" s="50" t="s">
        <v>19</v>
      </c>
      <c r="L94" s="49"/>
      <c r="M94" s="49"/>
      <c r="N94" s="49"/>
      <c r="O94" s="63" t="s">
        <v>119</v>
      </c>
    </row>
    <row r="95" spans="1:15" ht="30" customHeight="1">
      <c r="A95" s="7" t="s">
        <v>493</v>
      </c>
      <c r="B95" s="2" t="s">
        <v>494</v>
      </c>
      <c r="C95" s="8" t="s">
        <v>27</v>
      </c>
      <c r="D95" s="8" t="s">
        <v>38</v>
      </c>
      <c r="E95" s="8" t="s">
        <v>44</v>
      </c>
      <c r="F95" s="8" t="s">
        <v>50</v>
      </c>
      <c r="G95" s="8" t="s">
        <v>21</v>
      </c>
      <c r="H95" s="2" t="s">
        <v>495</v>
      </c>
      <c r="I95" s="9">
        <f>COUNTIF('3.업무-문서매핑'!$B:$B,A104)</f>
        <v>0</v>
      </c>
      <c r="J95" s="8"/>
      <c r="K95" s="50" t="s">
        <v>19</v>
      </c>
      <c r="L95" s="49"/>
      <c r="M95" s="49"/>
      <c r="N95" s="49"/>
      <c r="O95" s="63" t="s">
        <v>119</v>
      </c>
    </row>
    <row r="96" spans="1:15" ht="30" customHeight="1">
      <c r="A96" s="11" t="s">
        <v>496</v>
      </c>
      <c r="B96" s="12" t="s">
        <v>497</v>
      </c>
      <c r="C96" s="13" t="s">
        <v>29</v>
      </c>
      <c r="D96" s="13" t="s">
        <v>39</v>
      </c>
      <c r="E96" s="13" t="s">
        <v>47</v>
      </c>
      <c r="F96" s="13" t="s">
        <v>51</v>
      </c>
      <c r="G96" s="13" t="s">
        <v>21</v>
      </c>
      <c r="H96" s="12" t="s">
        <v>498</v>
      </c>
      <c r="I96" s="14">
        <f>COUNTIF('3.업무-문서매핑'!$B:$B,A105)</f>
        <v>0</v>
      </c>
      <c r="J96" s="13"/>
      <c r="K96" s="50" t="s">
        <v>19</v>
      </c>
      <c r="L96" s="49"/>
      <c r="M96" s="49"/>
      <c r="N96" s="49"/>
      <c r="O96" s="63" t="s">
        <v>119</v>
      </c>
    </row>
    <row r="97" spans="1:15" ht="30" customHeight="1">
      <c r="A97" s="7" t="s">
        <v>499</v>
      </c>
      <c r="B97" s="2" t="s">
        <v>500</v>
      </c>
      <c r="C97" s="8" t="s">
        <v>29</v>
      </c>
      <c r="D97" s="8" t="s">
        <v>39</v>
      </c>
      <c r="E97" s="8" t="s">
        <v>47</v>
      </c>
      <c r="F97" s="8" t="s">
        <v>51</v>
      </c>
      <c r="G97" s="8" t="s">
        <v>21</v>
      </c>
      <c r="H97" s="2" t="s">
        <v>501</v>
      </c>
      <c r="I97" s="9">
        <f>COUNTIF('3.업무-문서매핑'!$B:$B,A106)</f>
        <v>0</v>
      </c>
      <c r="J97" s="8"/>
      <c r="K97" s="50" t="s">
        <v>19</v>
      </c>
      <c r="L97" s="49"/>
      <c r="M97" s="49"/>
      <c r="N97" s="49"/>
      <c r="O97" s="63" t="s">
        <v>119</v>
      </c>
    </row>
    <row r="98" spans="1:15" ht="30" customHeight="1"/>
    <row r="99" spans="1:15" ht="30" customHeight="1"/>
    <row r="100" spans="1:15" ht="30" customHeight="1"/>
    <row r="101" spans="1:15" ht="30" customHeight="1"/>
    <row r="102" spans="1:15" ht="30" customHeight="1"/>
    <row r="103" spans="1:15" ht="30" customHeight="1"/>
    <row r="104" spans="1:15" ht="30" customHeight="1"/>
    <row r="105" spans="1:15" ht="30" customHeight="1"/>
    <row r="106" spans="1:15" ht="30" customHeight="1"/>
  </sheetData>
  <autoFilter ref="A1:O97" xr:uid="{00000000-0009-0000-0000-000001000000}"/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"/>
  <sheetViews>
    <sheetView showGridLines="0" zoomScaleNormal="100" workbookViewId="0">
      <pane ySplit="1" topLeftCell="A14" activePane="bottomLeft" state="frozen"/>
      <selection pane="bottomLeft" activeCell="C51" sqref="C51"/>
    </sheetView>
  </sheetViews>
  <sheetFormatPr baseColWidth="10" defaultColWidth="8.6640625" defaultRowHeight="15"/>
  <cols>
    <col min="1" max="1" width="10" customWidth="1"/>
    <col min="2" max="2" width="28" customWidth="1"/>
    <col min="3" max="3" width="30" customWidth="1"/>
    <col min="4" max="4" width="50" customWidth="1"/>
    <col min="5" max="5" width="11" customWidth="1"/>
    <col min="6" max="6" width="12" customWidth="1"/>
    <col min="7" max="7" width="14" customWidth="1"/>
  </cols>
  <sheetData>
    <row r="1" spans="1:7" ht="29.75" customHeight="1">
      <c r="A1" s="5" t="s">
        <v>502</v>
      </c>
      <c r="B1" s="5" t="s">
        <v>10</v>
      </c>
      <c r="C1" s="5" t="s">
        <v>503</v>
      </c>
      <c r="D1" s="5" t="s">
        <v>504</v>
      </c>
      <c r="E1" s="5" t="s">
        <v>505</v>
      </c>
      <c r="F1" s="5" t="s">
        <v>506</v>
      </c>
      <c r="G1" s="5" t="s">
        <v>507</v>
      </c>
    </row>
    <row r="2" spans="1:7" ht="30" customHeight="1">
      <c r="A2" s="7" t="s">
        <v>508</v>
      </c>
      <c r="B2" s="2" t="s">
        <v>54</v>
      </c>
      <c r="C2" s="27" t="s">
        <v>509</v>
      </c>
      <c r="D2" s="2" t="s">
        <v>510</v>
      </c>
      <c r="E2" s="17" t="s">
        <v>303</v>
      </c>
      <c r="F2" s="8">
        <f>COUNTIFS('3.업무-문서매핑'!$A:$A,A2,'3.업무-문서매핑'!$C:$C,"입력")</f>
        <v>11</v>
      </c>
      <c r="G2" s="9">
        <f>COUNTIFS('3.업무-문서매핑'!$A:$A,A2,'3.업무-문서매핑'!$C:$C,"입력",'3.업무-문서매핑'!$D:$D,"필수")</f>
        <v>6</v>
      </c>
    </row>
    <row r="3" spans="1:7" ht="30" customHeight="1">
      <c r="A3" s="11" t="s">
        <v>511</v>
      </c>
      <c r="B3" s="12" t="s">
        <v>54</v>
      </c>
      <c r="C3" s="28" t="s">
        <v>512</v>
      </c>
      <c r="D3" s="12" t="s">
        <v>513</v>
      </c>
      <c r="E3" s="29" t="s">
        <v>303</v>
      </c>
      <c r="F3" s="13">
        <f>COUNTIFS('3.업무-문서매핑'!$A:$A,A3,'3.업무-문서매핑'!$C:$C,"입력")</f>
        <v>6</v>
      </c>
      <c r="G3" s="14">
        <f>COUNTIFS('3.업무-문서매핑'!$A:$A,A3,'3.업무-문서매핑'!$C:$C,"입력",'3.업무-문서매핑'!$D:$D,"필수")</f>
        <v>5</v>
      </c>
    </row>
    <row r="4" spans="1:7" ht="30" customHeight="1">
      <c r="A4" s="11" t="s">
        <v>514</v>
      </c>
      <c r="B4" s="12" t="s">
        <v>54</v>
      </c>
      <c r="C4" s="28" t="s">
        <v>515</v>
      </c>
      <c r="D4" s="12" t="s">
        <v>516</v>
      </c>
      <c r="E4" s="30" t="s">
        <v>517</v>
      </c>
      <c r="F4" s="13">
        <f>COUNTIFS('3.업무-문서매핑'!$A:$A,A5,'3.업무-문서매핑'!$C:$C,"입력")</f>
        <v>5</v>
      </c>
      <c r="G4" s="14">
        <f>COUNTIFS('3.업무-문서매핑'!$A:$A,A5,'3.업무-문서매핑'!$C:$C,"입력",'3.업무-문서매핑'!$D:$D,"필수")</f>
        <v>4</v>
      </c>
    </row>
    <row r="5" spans="1:7" ht="30" customHeight="1">
      <c r="A5" s="7" t="s">
        <v>518</v>
      </c>
      <c r="B5" s="2" t="s">
        <v>54</v>
      </c>
      <c r="C5" s="31" t="s">
        <v>519</v>
      </c>
      <c r="D5" s="2" t="s">
        <v>520</v>
      </c>
      <c r="E5" s="17" t="s">
        <v>318</v>
      </c>
      <c r="F5" s="8">
        <f>COUNTIFS('3.업무-문서매핑'!$A:$A,A6,'3.업무-문서매핑'!$C:$C,"입력")</f>
        <v>4</v>
      </c>
      <c r="G5" s="9">
        <f>COUNTIFS('3.업무-문서매핑'!$A:$A,A6,'3.업무-문서매핑'!$C:$C,"입력",'3.업무-문서매핑'!$D:$D,"필수")</f>
        <v>1</v>
      </c>
    </row>
    <row r="6" spans="1:7" ht="30" customHeight="1">
      <c r="A6" s="7" t="s">
        <v>521</v>
      </c>
      <c r="B6" s="2" t="s">
        <v>54</v>
      </c>
      <c r="C6" s="27" t="s">
        <v>522</v>
      </c>
      <c r="D6" s="2" t="s">
        <v>523</v>
      </c>
      <c r="E6" s="17" t="s">
        <v>315</v>
      </c>
      <c r="F6" s="8">
        <f>COUNTIFS('3.업무-문서매핑'!$A:$A,A8,'3.업무-문서매핑'!$C:$C,"입력")</f>
        <v>5</v>
      </c>
      <c r="G6" s="9">
        <f>COUNTIFS('3.업무-문서매핑'!$A:$A,A8,'3.업무-문서매핑'!$C:$C,"입력",'3.업무-문서매핑'!$D:$D,"필수")</f>
        <v>3</v>
      </c>
    </row>
    <row r="7" spans="1:7" ht="30" customHeight="1">
      <c r="A7" s="11" t="s">
        <v>524</v>
      </c>
      <c r="B7" s="12" t="s">
        <v>55</v>
      </c>
      <c r="C7" s="28" t="s">
        <v>525</v>
      </c>
      <c r="D7" s="12" t="s">
        <v>526</v>
      </c>
      <c r="E7" s="29" t="s">
        <v>318</v>
      </c>
      <c r="F7" s="13">
        <f>COUNTIFS('3.업무-문서매핑'!$A:$A,A11,'3.업무-문서매핑'!$C:$C,"입력")</f>
        <v>7</v>
      </c>
      <c r="G7" s="14">
        <f>COUNTIFS('3.업무-문서매핑'!$A:$A,A11,'3.업무-문서매핑'!$C:$C,"입력",'3.업무-문서매핑'!$D:$D,"필수")</f>
        <v>3</v>
      </c>
    </row>
    <row r="8" spans="1:7" ht="30" customHeight="1">
      <c r="A8" s="11" t="s">
        <v>527</v>
      </c>
      <c r="B8" s="12" t="s">
        <v>55</v>
      </c>
      <c r="C8" s="33" t="s">
        <v>528</v>
      </c>
      <c r="D8" s="12" t="s">
        <v>529</v>
      </c>
      <c r="E8" s="29" t="s">
        <v>312</v>
      </c>
      <c r="F8" s="13">
        <f>COUNTIFS('3.업무-문서매핑'!$A:$A,A13,'3.업무-문서매핑'!$C:$C,"입력")</f>
        <v>4</v>
      </c>
      <c r="G8" s="14">
        <f>COUNTIFS('3.업무-문서매핑'!$A:$A,A13,'3.업무-문서매핑'!$C:$C,"입력",'3.업무-문서매핑'!$D:$D,"필수")</f>
        <v>3</v>
      </c>
    </row>
    <row r="9" spans="1:7" ht="30" customHeight="1">
      <c r="A9" s="11" t="s">
        <v>530</v>
      </c>
      <c r="B9" s="12" t="s">
        <v>56</v>
      </c>
      <c r="C9" s="28" t="s">
        <v>531</v>
      </c>
      <c r="D9" s="12" t="s">
        <v>532</v>
      </c>
      <c r="E9" s="29" t="s">
        <v>303</v>
      </c>
      <c r="F9" s="13">
        <f>COUNTIFS('3.업무-문서매핑'!$A:$A,A15,'3.업무-문서매핑'!$C:$C,"입력")</f>
        <v>4</v>
      </c>
      <c r="G9" s="14">
        <f>COUNTIFS('3.업무-문서매핑'!$A:$A,A15,'3.업무-문서매핑'!$C:$C,"입력",'3.업무-문서매핑'!$D:$D,"필수")</f>
        <v>2</v>
      </c>
    </row>
    <row r="10" spans="1:7" ht="30" customHeight="1">
      <c r="A10" s="11" t="s">
        <v>533</v>
      </c>
      <c r="B10" s="12" t="s">
        <v>57</v>
      </c>
      <c r="C10" s="28" t="s">
        <v>534</v>
      </c>
      <c r="D10" s="12" t="s">
        <v>535</v>
      </c>
      <c r="E10" s="29" t="s">
        <v>318</v>
      </c>
      <c r="F10" s="13">
        <f>COUNTIFS('3.업무-문서매핑'!$A:$A,A17,'3.업무-문서매핑'!$C:$C,"입력")</f>
        <v>4</v>
      </c>
      <c r="G10" s="14">
        <f>COUNTIFS('3.업무-문서매핑'!$A:$A,A17,'3.업무-문서매핑'!$C:$C,"입력",'3.업무-문서매핑'!$D:$D,"필수")</f>
        <v>2</v>
      </c>
    </row>
    <row r="11" spans="1:7" ht="30" customHeight="1">
      <c r="A11" s="7" t="s">
        <v>536</v>
      </c>
      <c r="B11" s="2" t="s">
        <v>57</v>
      </c>
      <c r="C11" s="27" t="s">
        <v>537</v>
      </c>
      <c r="D11" s="2" t="s">
        <v>538</v>
      </c>
      <c r="E11" s="17" t="s">
        <v>306</v>
      </c>
      <c r="F11" s="8">
        <f>COUNTIFS('3.업무-문서매핑'!$A:$A,A18,'3.업무-문서매핑'!$C:$C,"입력")</f>
        <v>4</v>
      </c>
      <c r="G11" s="9">
        <f>COUNTIFS('3.업무-문서매핑'!$A:$A,A18,'3.업무-문서매핑'!$C:$C,"입력",'3.업무-문서매핑'!$D:$D,"필수")</f>
        <v>3</v>
      </c>
    </row>
    <row r="12" spans="1:7" ht="30" customHeight="1">
      <c r="A12" s="11" t="s">
        <v>539</v>
      </c>
      <c r="B12" s="12" t="s">
        <v>57</v>
      </c>
      <c r="C12" s="28" t="s">
        <v>540</v>
      </c>
      <c r="D12" s="12" t="s">
        <v>541</v>
      </c>
      <c r="E12" s="29" t="s">
        <v>306</v>
      </c>
      <c r="F12" s="13">
        <f>COUNTIFS('3.업무-문서매핑'!$A:$A,A19,'3.업무-문서매핑'!$C:$C,"입력")</f>
        <v>3</v>
      </c>
      <c r="G12" s="14">
        <f>COUNTIFS('3.업무-문서매핑'!$A:$A,A19,'3.업무-문서매핑'!$C:$C,"입력",'3.업무-문서매핑'!$D:$D,"필수")</f>
        <v>1</v>
      </c>
    </row>
    <row r="13" spans="1:7" ht="30" customHeight="1">
      <c r="A13" s="7" t="s">
        <v>542</v>
      </c>
      <c r="B13" s="2" t="s">
        <v>57</v>
      </c>
      <c r="C13" s="27" t="s">
        <v>543</v>
      </c>
      <c r="D13" s="2" t="s">
        <v>544</v>
      </c>
      <c r="E13" s="17" t="s">
        <v>306</v>
      </c>
      <c r="F13" s="8">
        <f>COUNTIFS('3.업무-문서매핑'!$A:$A,A20,'3.업무-문서매핑'!$C:$C,"입력")</f>
        <v>3</v>
      </c>
      <c r="G13" s="9">
        <f>COUNTIFS('3.업무-문서매핑'!$A:$A,A20,'3.업무-문서매핑'!$C:$C,"입력",'3.업무-문서매핑'!$D:$D,"필수")</f>
        <v>2</v>
      </c>
    </row>
    <row r="14" spans="1:7" ht="30" customHeight="1">
      <c r="A14" s="11" t="s">
        <v>545</v>
      </c>
      <c r="B14" s="12" t="s">
        <v>57</v>
      </c>
      <c r="C14" s="28" t="s">
        <v>546</v>
      </c>
      <c r="D14" s="12" t="s">
        <v>547</v>
      </c>
      <c r="E14" s="29" t="s">
        <v>318</v>
      </c>
      <c r="F14" s="13">
        <f>COUNTIFS('3.업무-문서매핑'!$A:$A,A21,'3.업무-문서매핑'!$C:$C,"입력")</f>
        <v>2</v>
      </c>
      <c r="G14" s="14">
        <f>COUNTIFS('3.업무-문서매핑'!$A:$A,A21,'3.업무-문서매핑'!$C:$C,"입력",'3.업무-문서매핑'!$D:$D,"필수")</f>
        <v>1</v>
      </c>
    </row>
    <row r="15" spans="1:7" ht="30" customHeight="1">
      <c r="A15" s="7" t="s">
        <v>548</v>
      </c>
      <c r="B15" s="2" t="s">
        <v>58</v>
      </c>
      <c r="C15" s="27" t="s">
        <v>549</v>
      </c>
      <c r="D15" s="2" t="s">
        <v>550</v>
      </c>
      <c r="E15" s="17" t="s">
        <v>315</v>
      </c>
      <c r="F15" s="8">
        <f>COUNTIFS('3.업무-문서매핑'!$A:$A,A22,'3.업무-문서매핑'!$C:$C,"입력")</f>
        <v>3</v>
      </c>
      <c r="G15" s="9">
        <f>COUNTIFS('3.업무-문서매핑'!$A:$A,A22,'3.업무-문서매핑'!$C:$C,"입력",'3.업무-문서매핑'!$D:$D,"필수")</f>
        <v>2</v>
      </c>
    </row>
    <row r="16" spans="1:7" ht="30" customHeight="1">
      <c r="A16" s="11" t="s">
        <v>551</v>
      </c>
      <c r="B16" s="12" t="s">
        <v>58</v>
      </c>
      <c r="C16" s="28" t="s">
        <v>552</v>
      </c>
      <c r="D16" s="12" t="s">
        <v>553</v>
      </c>
      <c r="E16" s="29" t="s">
        <v>315</v>
      </c>
      <c r="F16" s="13">
        <f>COUNTIFS('3.업무-문서매핑'!$A:$A,A23,'3.업무-문서매핑'!$C:$C,"입력")</f>
        <v>3</v>
      </c>
      <c r="G16" s="14">
        <f>COUNTIFS('3.업무-문서매핑'!$A:$A,A23,'3.업무-문서매핑'!$C:$C,"입력",'3.업무-문서매핑'!$D:$D,"필수")</f>
        <v>1</v>
      </c>
    </row>
    <row r="17" spans="1:7" ht="30" customHeight="1">
      <c r="A17" s="7" t="s">
        <v>554</v>
      </c>
      <c r="B17" s="2" t="s">
        <v>58</v>
      </c>
      <c r="C17" s="27" t="s">
        <v>555</v>
      </c>
      <c r="D17" s="2" t="s">
        <v>556</v>
      </c>
      <c r="E17" s="17" t="s">
        <v>318</v>
      </c>
      <c r="F17" s="8">
        <f>COUNTIFS('3.업무-문서매핑'!$A:$A,A24,'3.업무-문서매핑'!$C:$C,"입력")</f>
        <v>2</v>
      </c>
      <c r="G17" s="9">
        <f>COUNTIFS('3.업무-문서매핑'!$A:$A,A24,'3.업무-문서매핑'!$C:$C,"입력",'3.업무-문서매핑'!$D:$D,"필수")</f>
        <v>1</v>
      </c>
    </row>
    <row r="18" spans="1:7" ht="30" customHeight="1">
      <c r="A18" s="11" t="s">
        <v>557</v>
      </c>
      <c r="B18" s="12" t="s">
        <v>58</v>
      </c>
      <c r="C18" s="28" t="s">
        <v>558</v>
      </c>
      <c r="D18" s="12" t="s">
        <v>559</v>
      </c>
      <c r="E18" s="29" t="s">
        <v>315</v>
      </c>
      <c r="F18" s="13">
        <f>COUNTIFS('3.업무-문서매핑'!$A:$A,A25,'3.업무-문서매핑'!$C:$C,"입력")</f>
        <v>3</v>
      </c>
      <c r="G18" s="14">
        <f>COUNTIFS('3.업무-문서매핑'!$A:$A,A25,'3.업무-문서매핑'!$C:$C,"입력",'3.업무-문서매핑'!$D:$D,"필수")</f>
        <v>1</v>
      </c>
    </row>
    <row r="19" spans="1:7" ht="30" customHeight="1">
      <c r="A19" s="7" t="s">
        <v>560</v>
      </c>
      <c r="B19" s="2" t="s">
        <v>58</v>
      </c>
      <c r="C19" s="27" t="s">
        <v>561</v>
      </c>
      <c r="D19" s="2" t="s">
        <v>562</v>
      </c>
      <c r="E19" s="32" t="s">
        <v>517</v>
      </c>
      <c r="F19" s="8">
        <f>COUNTIFS('3.업무-문서매핑'!$A:$A,A26,'3.업무-문서매핑'!$C:$C,"입력")</f>
        <v>3</v>
      </c>
      <c r="G19" s="9">
        <f>COUNTIFS('3.업무-문서매핑'!$A:$A,A26,'3.업무-문서매핑'!$C:$C,"입력",'3.업무-문서매핑'!$D:$D,"필수")</f>
        <v>2</v>
      </c>
    </row>
    <row r="20" spans="1:7" ht="30" customHeight="1">
      <c r="A20" s="11" t="s">
        <v>563</v>
      </c>
      <c r="B20" s="12" t="s">
        <v>58</v>
      </c>
      <c r="C20" s="28" t="s">
        <v>564</v>
      </c>
      <c r="D20" s="12" t="s">
        <v>565</v>
      </c>
      <c r="E20" s="30" t="s">
        <v>517</v>
      </c>
      <c r="F20" s="13">
        <f>COUNTIFS('3.업무-문서매핑'!$A:$A,A27,'3.업무-문서매핑'!$C:$C,"입력")</f>
        <v>3</v>
      </c>
      <c r="G20" s="14">
        <f>COUNTIFS('3.업무-문서매핑'!$A:$A,A27,'3.업무-문서매핑'!$C:$C,"입력",'3.업무-문서매핑'!$D:$D,"필수")</f>
        <v>1</v>
      </c>
    </row>
    <row r="21" spans="1:7" ht="30" customHeight="1">
      <c r="A21" s="7" t="s">
        <v>566</v>
      </c>
      <c r="B21" s="2" t="s">
        <v>58</v>
      </c>
      <c r="C21" s="27" t="s">
        <v>567</v>
      </c>
      <c r="D21" s="2" t="s">
        <v>568</v>
      </c>
      <c r="E21" s="17" t="s">
        <v>315</v>
      </c>
      <c r="F21" s="8">
        <f>COUNTIFS('3.업무-문서매핑'!$A:$A,A28,'3.업무-문서매핑'!$C:$C,"입력")</f>
        <v>4</v>
      </c>
      <c r="G21" s="9">
        <f>COUNTIFS('3.업무-문서매핑'!$A:$A,A28,'3.업무-문서매핑'!$C:$C,"입력",'3.업무-문서매핑'!$D:$D,"필수")</f>
        <v>2</v>
      </c>
    </row>
    <row r="22" spans="1:7" ht="30" customHeight="1">
      <c r="A22" s="11" t="s">
        <v>569</v>
      </c>
      <c r="B22" s="12" t="s">
        <v>59</v>
      </c>
      <c r="C22" s="28" t="s">
        <v>570</v>
      </c>
      <c r="D22" s="12" t="s">
        <v>571</v>
      </c>
      <c r="E22" s="30" t="s">
        <v>517</v>
      </c>
      <c r="F22" s="13">
        <f>COUNTIFS('3.업무-문서매핑'!$A:$A,A29,'3.업무-문서매핑'!$C:$C,"입력")</f>
        <v>2</v>
      </c>
      <c r="G22" s="14">
        <f>COUNTIFS('3.업무-문서매핑'!$A:$A,A29,'3.업무-문서매핑'!$C:$C,"입력",'3.업무-문서매핑'!$D:$D,"필수")</f>
        <v>2</v>
      </c>
    </row>
    <row r="23" spans="1:7" ht="30" customHeight="1">
      <c r="A23" s="7" t="s">
        <v>572</v>
      </c>
      <c r="B23" s="2" t="s">
        <v>59</v>
      </c>
      <c r="C23" s="27" t="s">
        <v>573</v>
      </c>
      <c r="D23" s="2" t="s">
        <v>574</v>
      </c>
      <c r="E23" s="17" t="s">
        <v>318</v>
      </c>
      <c r="F23" s="8">
        <f>COUNTIFS('3.업무-문서매핑'!$A:$A,A30,'3.업무-문서매핑'!$C:$C,"입력")</f>
        <v>3</v>
      </c>
      <c r="G23" s="9">
        <f>COUNTIFS('3.업무-문서매핑'!$A:$A,A30,'3.업무-문서매핑'!$C:$C,"입력",'3.업무-문서매핑'!$D:$D,"필수")</f>
        <v>2</v>
      </c>
    </row>
    <row r="24" spans="1:7" ht="30" customHeight="1">
      <c r="A24" s="11" t="s">
        <v>575</v>
      </c>
      <c r="B24" s="12" t="s">
        <v>59</v>
      </c>
      <c r="C24" s="28" t="s">
        <v>576</v>
      </c>
      <c r="D24" s="12" t="s">
        <v>577</v>
      </c>
      <c r="E24" s="30" t="s">
        <v>517</v>
      </c>
      <c r="F24" s="13">
        <f>COUNTIFS('3.업무-문서매핑'!$A:$A,A31,'3.업무-문서매핑'!$C:$C,"입력")</f>
        <v>3</v>
      </c>
      <c r="G24" s="14">
        <f>COUNTIFS('3.업무-문서매핑'!$A:$A,A31,'3.업무-문서매핑'!$C:$C,"입력",'3.업무-문서매핑'!$D:$D,"필수")</f>
        <v>1</v>
      </c>
    </row>
    <row r="25" spans="1:7" ht="30" customHeight="1">
      <c r="A25" s="7" t="s">
        <v>578</v>
      </c>
      <c r="B25" s="2" t="s">
        <v>60</v>
      </c>
      <c r="C25" s="27" t="s">
        <v>579</v>
      </c>
      <c r="D25" s="2" t="s">
        <v>580</v>
      </c>
      <c r="E25" s="32" t="s">
        <v>517</v>
      </c>
      <c r="F25" s="8">
        <f>COUNTIFS('3.업무-문서매핑'!$A:$A,A32,'3.업무-문서매핑'!$C:$C,"입력")</f>
        <v>2</v>
      </c>
      <c r="G25" s="9">
        <f>COUNTIFS('3.업무-문서매핑'!$A:$A,A32,'3.업무-문서매핑'!$C:$C,"입력",'3.업무-문서매핑'!$D:$D,"필수")</f>
        <v>1</v>
      </c>
    </row>
    <row r="26" spans="1:7" ht="30" customHeight="1">
      <c r="A26" s="11" t="s">
        <v>581</v>
      </c>
      <c r="B26" s="12" t="s">
        <v>60</v>
      </c>
      <c r="C26" s="28" t="s">
        <v>582</v>
      </c>
      <c r="D26" s="12" t="s">
        <v>583</v>
      </c>
      <c r="E26" s="29" t="s">
        <v>318</v>
      </c>
      <c r="F26" s="13">
        <f>COUNTIFS('3.업무-문서매핑'!$A:$A,A33,'3.업무-문서매핑'!$C:$C,"입력")</f>
        <v>3</v>
      </c>
      <c r="G26" s="14">
        <f>COUNTIFS('3.업무-문서매핑'!$A:$A,A33,'3.업무-문서매핑'!$C:$C,"입력",'3.업무-문서매핑'!$D:$D,"필수")</f>
        <v>3</v>
      </c>
    </row>
    <row r="27" spans="1:7" ht="30" customHeight="1">
      <c r="A27" s="7" t="s">
        <v>584</v>
      </c>
      <c r="B27" s="2" t="s">
        <v>60</v>
      </c>
      <c r="C27" s="27" t="s">
        <v>585</v>
      </c>
      <c r="D27" s="2" t="s">
        <v>586</v>
      </c>
      <c r="E27" s="17" t="s">
        <v>318</v>
      </c>
      <c r="F27" s="8">
        <f>COUNTIFS('3.업무-문서매핑'!$A:$A,A34,'3.업무-문서매핑'!$C:$C,"입력")</f>
        <v>4</v>
      </c>
      <c r="G27" s="9">
        <f>COUNTIFS('3.업무-문서매핑'!$A:$A,A34,'3.업무-문서매핑'!$C:$C,"입력",'3.업무-문서매핑'!$D:$D,"필수")</f>
        <v>3</v>
      </c>
    </row>
    <row r="28" spans="1:7" ht="30" customHeight="1">
      <c r="A28" s="11" t="s">
        <v>587</v>
      </c>
      <c r="B28" s="12" t="s">
        <v>60</v>
      </c>
      <c r="C28" s="28" t="s">
        <v>588</v>
      </c>
      <c r="D28" s="12" t="s">
        <v>589</v>
      </c>
      <c r="E28" s="30" t="s">
        <v>517</v>
      </c>
      <c r="F28" s="13">
        <f>COUNTIFS('3.업무-문서매핑'!$A:$A,A35,'3.업무-문서매핑'!$C:$C,"입력")</f>
        <v>2</v>
      </c>
      <c r="G28" s="14">
        <f>COUNTIFS('3.업무-문서매핑'!$A:$A,A35,'3.업무-문서매핑'!$C:$C,"입력",'3.업무-문서매핑'!$D:$D,"필수")</f>
        <v>1</v>
      </c>
    </row>
    <row r="29" spans="1:7" ht="30" customHeight="1">
      <c r="A29" s="7" t="s">
        <v>590</v>
      </c>
      <c r="B29" s="2" t="s">
        <v>61</v>
      </c>
      <c r="C29" s="27" t="s">
        <v>591</v>
      </c>
      <c r="D29" s="2" t="s">
        <v>592</v>
      </c>
      <c r="E29" s="32" t="s">
        <v>517</v>
      </c>
      <c r="F29" s="8">
        <f>COUNTIFS('3.업무-문서매핑'!$A:$A,A36,'3.업무-문서매핑'!$C:$C,"입력")</f>
        <v>4</v>
      </c>
      <c r="G29" s="9">
        <f>COUNTIFS('3.업무-문서매핑'!$A:$A,A36,'3.업무-문서매핑'!$C:$C,"입력",'3.업무-문서매핑'!$D:$D,"필수")</f>
        <v>1</v>
      </c>
    </row>
    <row r="30" spans="1:7" ht="30" customHeight="1">
      <c r="A30" s="11" t="s">
        <v>593</v>
      </c>
      <c r="B30" s="12" t="s">
        <v>61</v>
      </c>
      <c r="C30" s="28" t="s">
        <v>594</v>
      </c>
      <c r="D30" s="12" t="s">
        <v>595</v>
      </c>
      <c r="E30" s="29" t="s">
        <v>315</v>
      </c>
      <c r="F30" s="13">
        <f>COUNTIFS('3.업무-문서매핑'!$A:$A,A37,'3.업무-문서매핑'!$C:$C,"입력")</f>
        <v>3</v>
      </c>
      <c r="G30" s="14">
        <f>COUNTIFS('3.업무-문서매핑'!$A:$A,A37,'3.업무-문서매핑'!$C:$C,"입력",'3.업무-문서매핑'!$D:$D,"필수")</f>
        <v>1</v>
      </c>
    </row>
    <row r="31" spans="1:7" ht="30" customHeight="1">
      <c r="A31" s="7" t="s">
        <v>596</v>
      </c>
      <c r="B31" s="2" t="s">
        <v>61</v>
      </c>
      <c r="C31" s="27" t="s">
        <v>597</v>
      </c>
      <c r="D31" s="2" t="s">
        <v>598</v>
      </c>
      <c r="E31" s="32" t="s">
        <v>517</v>
      </c>
      <c r="F31" s="8">
        <f>COUNTIFS('3.업무-문서매핑'!$A:$A,A38,'3.업무-문서매핑'!$C:$C,"입력")</f>
        <v>2</v>
      </c>
      <c r="G31" s="9">
        <f>COUNTIFS('3.업무-문서매핑'!$A:$A,A38,'3.업무-문서매핑'!$C:$C,"입력",'3.업무-문서매핑'!$D:$D,"필수")</f>
        <v>1</v>
      </c>
    </row>
    <row r="32" spans="1:7" ht="30" customHeight="1">
      <c r="A32" s="11" t="s">
        <v>599</v>
      </c>
      <c r="B32" s="12" t="s">
        <v>61</v>
      </c>
      <c r="C32" s="28" t="s">
        <v>600</v>
      </c>
      <c r="D32" s="12" t="s">
        <v>601</v>
      </c>
      <c r="E32" s="30" t="s">
        <v>517</v>
      </c>
      <c r="F32" s="13">
        <f>COUNTIFS('3.업무-문서매핑'!$A:$A,A39,'3.업무-문서매핑'!$C:$C,"입력")</f>
        <v>1</v>
      </c>
      <c r="G32" s="14">
        <f>COUNTIFS('3.업무-문서매핑'!$A:$A,A39,'3.업무-문서매핑'!$C:$C,"입력",'3.업무-문서매핑'!$D:$D,"필수")</f>
        <v>1</v>
      </c>
    </row>
    <row r="33" spans="1:7" ht="30" customHeight="1">
      <c r="A33" s="7" t="s">
        <v>602</v>
      </c>
      <c r="B33" s="2" t="s">
        <v>62</v>
      </c>
      <c r="C33" s="27" t="s">
        <v>603</v>
      </c>
      <c r="D33" s="2" t="s">
        <v>604</v>
      </c>
      <c r="E33" s="32" t="s">
        <v>517</v>
      </c>
      <c r="F33" s="8">
        <f>COUNTIFS('3.업무-문서매핑'!$A:$A,A40,'3.업무-문서매핑'!$C:$C,"입력")</f>
        <v>3</v>
      </c>
      <c r="G33" s="9">
        <f>COUNTIFS('3.업무-문서매핑'!$A:$A,A40,'3.업무-문서매핑'!$C:$C,"입력",'3.업무-문서매핑'!$D:$D,"필수")</f>
        <v>1</v>
      </c>
    </row>
    <row r="34" spans="1:7" ht="30" customHeight="1">
      <c r="A34" s="11" t="s">
        <v>605</v>
      </c>
      <c r="B34" s="12" t="s">
        <v>62</v>
      </c>
      <c r="C34" s="28" t="s">
        <v>606</v>
      </c>
      <c r="D34" s="12" t="s">
        <v>607</v>
      </c>
      <c r="E34" s="29" t="s">
        <v>318</v>
      </c>
      <c r="F34" s="13">
        <f>COUNTIFS('3.업무-문서매핑'!$A:$A,A41,'3.업무-문서매핑'!$C:$C,"입력")</f>
        <v>2</v>
      </c>
      <c r="G34" s="14">
        <f>COUNTIFS('3.업무-문서매핑'!$A:$A,A41,'3.업무-문서매핑'!$C:$C,"입력",'3.업무-문서매핑'!$D:$D,"필수")</f>
        <v>1</v>
      </c>
    </row>
    <row r="35" spans="1:7" ht="30" customHeight="1">
      <c r="A35" s="7" t="s">
        <v>608</v>
      </c>
      <c r="B35" s="2" t="s">
        <v>62</v>
      </c>
      <c r="C35" s="27" t="s">
        <v>609</v>
      </c>
      <c r="D35" s="2" t="s">
        <v>610</v>
      </c>
      <c r="E35" s="32" t="s">
        <v>517</v>
      </c>
      <c r="F35" s="8">
        <f>COUNTIFS('3.업무-문서매핑'!$A:$A,A42,'3.업무-문서매핑'!$C:$C,"입력")</f>
        <v>3</v>
      </c>
      <c r="G35" s="9">
        <f>COUNTIFS('3.업무-문서매핑'!$A:$A,A42,'3.업무-문서매핑'!$C:$C,"입력",'3.업무-문서매핑'!$D:$D,"필수")</f>
        <v>2</v>
      </c>
    </row>
    <row r="36" spans="1:7" ht="30" customHeight="1">
      <c r="A36" s="11" t="s">
        <v>611</v>
      </c>
      <c r="B36" s="12" t="s">
        <v>63</v>
      </c>
      <c r="C36" s="28" t="s">
        <v>612</v>
      </c>
      <c r="D36" s="12" t="s">
        <v>613</v>
      </c>
      <c r="E36" s="29" t="s">
        <v>318</v>
      </c>
      <c r="F36" s="13">
        <f>COUNTIFS('3.업무-문서매핑'!$A:$A,A43,'3.업무-문서매핑'!$C:$C,"입력")</f>
        <v>2</v>
      </c>
      <c r="G36" s="14">
        <f>COUNTIFS('3.업무-문서매핑'!$A:$A,A43,'3.업무-문서매핑'!$C:$C,"입력",'3.업무-문서매핑'!$D:$D,"필수")</f>
        <v>1</v>
      </c>
    </row>
    <row r="37" spans="1:7" ht="30" customHeight="1">
      <c r="A37" s="7" t="s">
        <v>614</v>
      </c>
      <c r="B37" s="2" t="s">
        <v>63</v>
      </c>
      <c r="C37" s="27" t="s">
        <v>615</v>
      </c>
      <c r="D37" s="2" t="s">
        <v>616</v>
      </c>
      <c r="E37" s="32" t="s">
        <v>517</v>
      </c>
      <c r="F37" s="8">
        <f>COUNTIFS('3.업무-문서매핑'!$A:$A,A44,'3.업무-문서매핑'!$C:$C,"입력")</f>
        <v>3</v>
      </c>
      <c r="G37" s="9">
        <f>COUNTIFS('3.업무-문서매핑'!$A:$A,A44,'3.업무-문서매핑'!$C:$C,"입력",'3.업무-문서매핑'!$D:$D,"필수")</f>
        <v>1</v>
      </c>
    </row>
    <row r="38" spans="1:7" ht="30" customHeight="1">
      <c r="A38" s="11" t="s">
        <v>617</v>
      </c>
      <c r="B38" s="12" t="s">
        <v>63</v>
      </c>
      <c r="C38" s="28" t="s">
        <v>618</v>
      </c>
      <c r="D38" s="12" t="s">
        <v>619</v>
      </c>
      <c r="E38" s="29" t="s">
        <v>318</v>
      </c>
      <c r="F38" s="13">
        <f>COUNTIFS('3.업무-문서매핑'!$A:$A,A45,'3.업무-문서매핑'!$C:$C,"입력")</f>
        <v>2</v>
      </c>
      <c r="G38" s="14">
        <f>COUNTIFS('3.업무-문서매핑'!$A:$A,A45,'3.업무-문서매핑'!$C:$C,"입력",'3.업무-문서매핑'!$D:$D,"필수")</f>
        <v>1</v>
      </c>
    </row>
    <row r="39" spans="1:7" ht="30" customHeight="1">
      <c r="A39" s="7" t="s">
        <v>620</v>
      </c>
      <c r="B39" s="2" t="s">
        <v>63</v>
      </c>
      <c r="C39" s="27" t="s">
        <v>621</v>
      </c>
      <c r="D39" s="2" t="s">
        <v>622</v>
      </c>
      <c r="E39" s="17" t="s">
        <v>318</v>
      </c>
      <c r="F39" s="8">
        <f>COUNTIFS('3.업무-문서매핑'!$A:$A,A46,'3.업무-문서매핑'!$C:$C,"입력")</f>
        <v>3</v>
      </c>
      <c r="G39" s="9">
        <f>COUNTIFS('3.업무-문서매핑'!$A:$A,A46,'3.업무-문서매핑'!$C:$C,"입력",'3.업무-문서매핑'!$D:$D,"필수")</f>
        <v>1</v>
      </c>
    </row>
    <row r="40" spans="1:7" ht="30" customHeight="1">
      <c r="A40" s="11" t="s">
        <v>623</v>
      </c>
      <c r="B40" s="12" t="s">
        <v>64</v>
      </c>
      <c r="C40" s="28" t="s">
        <v>624</v>
      </c>
      <c r="D40" s="12" t="s">
        <v>625</v>
      </c>
      <c r="E40" s="30" t="s">
        <v>517</v>
      </c>
      <c r="F40" s="13">
        <f>COUNTIFS('3.업무-문서매핑'!$A:$A,A47,'3.업무-문서매핑'!$C:$C,"입력")</f>
        <v>2</v>
      </c>
      <c r="G40" s="14">
        <f>COUNTIFS('3.업무-문서매핑'!$A:$A,A47,'3.업무-문서매핑'!$C:$C,"입력",'3.업무-문서매핑'!$D:$D,"필수")</f>
        <v>1</v>
      </c>
    </row>
    <row r="41" spans="1:7" ht="30" customHeight="1">
      <c r="A41" s="7" t="s">
        <v>626</v>
      </c>
      <c r="B41" s="2" t="s">
        <v>64</v>
      </c>
      <c r="C41" s="27" t="s">
        <v>627</v>
      </c>
      <c r="D41" s="2" t="s">
        <v>628</v>
      </c>
      <c r="E41" s="32" t="s">
        <v>517</v>
      </c>
      <c r="F41" s="8">
        <f>COUNTIFS('3.업무-문서매핑'!$A:$A,A48,'3.업무-문서매핑'!$C:$C,"입력")</f>
        <v>0</v>
      </c>
      <c r="G41" s="9">
        <f>COUNTIFS('3.업무-문서매핑'!$A:$A,A48,'3.업무-문서매핑'!$C:$C,"입력",'3.업무-문서매핑'!$D:$D,"필수")</f>
        <v>0</v>
      </c>
    </row>
    <row r="42" spans="1:7" ht="30" customHeight="1">
      <c r="A42" s="11" t="s">
        <v>629</v>
      </c>
      <c r="B42" s="12" t="s">
        <v>64</v>
      </c>
      <c r="C42" s="28" t="s">
        <v>630</v>
      </c>
      <c r="D42" s="12" t="s">
        <v>631</v>
      </c>
      <c r="E42" s="29" t="s">
        <v>318</v>
      </c>
      <c r="F42" s="13">
        <f>COUNTIFS('3.업무-문서매핑'!$A:$A,A49,'3.업무-문서매핑'!$C:$C,"입력")</f>
        <v>0</v>
      </c>
      <c r="G42" s="14">
        <f>COUNTIFS('3.업무-문서매핑'!$A:$A,A49,'3.업무-문서매핑'!$C:$C,"입력",'3.업무-문서매핑'!$D:$D,"필수")</f>
        <v>0</v>
      </c>
    </row>
    <row r="43" spans="1:7" ht="30" customHeight="1">
      <c r="A43" s="7" t="s">
        <v>632</v>
      </c>
      <c r="B43" s="2" t="s">
        <v>64</v>
      </c>
      <c r="C43" s="27" t="s">
        <v>633</v>
      </c>
      <c r="D43" s="2" t="s">
        <v>634</v>
      </c>
      <c r="E43" s="17" t="s">
        <v>315</v>
      </c>
      <c r="F43" s="8">
        <f>COUNTIFS('3.업무-문서매핑'!$A:$A,A50,'3.업무-문서매핑'!$C:$C,"입력")</f>
        <v>0</v>
      </c>
      <c r="G43" s="9">
        <f>COUNTIFS('3.업무-문서매핑'!$A:$A,A50,'3.업무-문서매핑'!$C:$C,"입력",'3.업무-문서매핑'!$D:$D,"필수")</f>
        <v>0</v>
      </c>
    </row>
    <row r="44" spans="1:7" ht="30" customHeight="1">
      <c r="A44" s="11" t="s">
        <v>635</v>
      </c>
      <c r="B44" s="12" t="s">
        <v>65</v>
      </c>
      <c r="C44" s="28" t="s">
        <v>636</v>
      </c>
      <c r="D44" s="12" t="s">
        <v>637</v>
      </c>
      <c r="E44" s="30" t="s">
        <v>517</v>
      </c>
      <c r="F44" s="13">
        <f>COUNTIFS('3.업무-문서매핑'!$A:$A,A51,'3.업무-문서매핑'!$C:$C,"입력")</f>
        <v>0</v>
      </c>
      <c r="G44" s="14">
        <f>COUNTIFS('3.업무-문서매핑'!$A:$A,A51,'3.업무-문서매핑'!$C:$C,"입력",'3.업무-문서매핑'!$D:$D,"필수")</f>
        <v>0</v>
      </c>
    </row>
    <row r="45" spans="1:7" ht="30" customHeight="1">
      <c r="A45" s="7" t="s">
        <v>638</v>
      </c>
      <c r="B45" s="2" t="s">
        <v>65</v>
      </c>
      <c r="C45" s="27" t="s">
        <v>639</v>
      </c>
      <c r="D45" s="2" t="s">
        <v>640</v>
      </c>
      <c r="E45" s="32" t="s">
        <v>517</v>
      </c>
      <c r="F45" s="8">
        <f>COUNTIFS('3.업무-문서매핑'!$A:$A,A52,'3.업무-문서매핑'!$C:$C,"입력")</f>
        <v>0</v>
      </c>
      <c r="G45" s="9">
        <f>COUNTIFS('3.업무-문서매핑'!$A:$A,A52,'3.업무-문서매핑'!$C:$C,"입력",'3.업무-문서매핑'!$D:$D,"필수")</f>
        <v>0</v>
      </c>
    </row>
    <row r="46" spans="1:7" ht="30" customHeight="1">
      <c r="A46" s="11" t="s">
        <v>641</v>
      </c>
      <c r="B46" s="12" t="s">
        <v>65</v>
      </c>
      <c r="C46" s="28" t="s">
        <v>642</v>
      </c>
      <c r="D46" s="12" t="s">
        <v>643</v>
      </c>
      <c r="E46" s="30" t="s">
        <v>517</v>
      </c>
      <c r="F46" s="13">
        <f>COUNTIFS('3.업무-문서매핑'!$A:$A,A53,'3.업무-문서매핑'!$C:$C,"입력")</f>
        <v>0</v>
      </c>
      <c r="G46" s="14">
        <f>COUNTIFS('3.업무-문서매핑'!$A:$A,A53,'3.업무-문서매핑'!$C:$C,"입력",'3.업무-문서매핑'!$D:$D,"필수")</f>
        <v>0</v>
      </c>
    </row>
    <row r="47" spans="1:7" ht="30" customHeight="1">
      <c r="A47" s="7" t="s">
        <v>644</v>
      </c>
      <c r="B47" s="2" t="s">
        <v>65</v>
      </c>
      <c r="C47" s="27" t="s">
        <v>645</v>
      </c>
      <c r="D47" s="2" t="s">
        <v>646</v>
      </c>
      <c r="E47" s="32" t="s">
        <v>517</v>
      </c>
      <c r="F47" s="8">
        <f>COUNTIFS('3.업무-문서매핑'!$A:$A,A54,'3.업무-문서매핑'!$C:$C,"입력")</f>
        <v>0</v>
      </c>
      <c r="G47" s="9">
        <f>COUNTIFS('3.업무-문서매핑'!$A:$A,A54,'3.업무-문서매핑'!$C:$C,"입력",'3.업무-문서매핑'!$D:$D,"필수")</f>
        <v>0</v>
      </c>
    </row>
    <row r="48" spans="1:7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</sheetData>
  <autoFilter ref="A1:G47" xr:uid="{00000000-0009-0000-0000-000002000000}"/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213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2" width="10" customWidth="1"/>
    <col min="3" max="3" width="16" customWidth="1"/>
    <col min="4" max="4" width="11" customWidth="1"/>
    <col min="5" max="5" width="30" customWidth="1"/>
    <col min="6" max="6" width="36" customWidth="1"/>
  </cols>
  <sheetData>
    <row r="1" spans="1:6" ht="15" customHeight="1">
      <c r="A1" s="5" t="s">
        <v>502</v>
      </c>
      <c r="B1" s="5" t="s">
        <v>97</v>
      </c>
      <c r="C1" s="5" t="s">
        <v>647</v>
      </c>
      <c r="D1" s="5" t="s">
        <v>648</v>
      </c>
      <c r="E1" s="5" t="s">
        <v>503</v>
      </c>
      <c r="F1" s="5" t="s">
        <v>98</v>
      </c>
    </row>
    <row r="2" spans="1:6" ht="21.75" customHeight="1">
      <c r="A2" s="7" t="s">
        <v>508</v>
      </c>
      <c r="B2" s="34" t="s">
        <v>220</v>
      </c>
      <c r="C2" s="8" t="s">
        <v>649</v>
      </c>
      <c r="D2" s="35" t="s">
        <v>650</v>
      </c>
      <c r="E2" s="2" t="s">
        <v>509</v>
      </c>
      <c r="F2" s="2" t="s">
        <v>221</v>
      </c>
    </row>
    <row r="3" spans="1:6" ht="21.75" customHeight="1">
      <c r="A3" s="11" t="s">
        <v>508</v>
      </c>
      <c r="B3" s="36" t="s">
        <v>112</v>
      </c>
      <c r="C3" s="13" t="s">
        <v>649</v>
      </c>
      <c r="D3" s="37" t="s">
        <v>650</v>
      </c>
      <c r="E3" s="12" t="s">
        <v>509</v>
      </c>
      <c r="F3" s="12" t="s">
        <v>113</v>
      </c>
    </row>
    <row r="4" spans="1:6" ht="21.75" customHeight="1">
      <c r="A4" s="7" t="s">
        <v>508</v>
      </c>
      <c r="B4" s="34" t="s">
        <v>120</v>
      </c>
      <c r="C4" s="8" t="s">
        <v>649</v>
      </c>
      <c r="D4" s="35" t="s">
        <v>650</v>
      </c>
      <c r="E4" s="2" t="s">
        <v>509</v>
      </c>
      <c r="F4" s="2" t="s">
        <v>121</v>
      </c>
    </row>
    <row r="5" spans="1:6" ht="21.75" customHeight="1">
      <c r="A5" s="11" t="s">
        <v>508</v>
      </c>
      <c r="B5" s="36" t="s">
        <v>126</v>
      </c>
      <c r="C5" s="13" t="s">
        <v>649</v>
      </c>
      <c r="D5" s="38" t="s">
        <v>651</v>
      </c>
      <c r="E5" s="12" t="s">
        <v>509</v>
      </c>
      <c r="F5" s="12" t="s">
        <v>127</v>
      </c>
    </row>
    <row r="6" spans="1:6" ht="21.75" customHeight="1">
      <c r="A6" s="7" t="s">
        <v>508</v>
      </c>
      <c r="B6" s="34" t="s">
        <v>163</v>
      </c>
      <c r="C6" s="8" t="s">
        <v>649</v>
      </c>
      <c r="D6" s="35" t="s">
        <v>650</v>
      </c>
      <c r="E6" s="2" t="s">
        <v>509</v>
      </c>
      <c r="F6" s="2" t="s">
        <v>164</v>
      </c>
    </row>
    <row r="7" spans="1:6" ht="21.75" customHeight="1">
      <c r="A7" s="11" t="s">
        <v>508</v>
      </c>
      <c r="B7" s="36" t="s">
        <v>166</v>
      </c>
      <c r="C7" s="13" t="s">
        <v>649</v>
      </c>
      <c r="D7" s="38" t="s">
        <v>651</v>
      </c>
      <c r="E7" s="12" t="s">
        <v>509</v>
      </c>
      <c r="F7" s="12" t="s">
        <v>167</v>
      </c>
    </row>
    <row r="8" spans="1:6" ht="21.75" customHeight="1">
      <c r="A8" s="7" t="s">
        <v>508</v>
      </c>
      <c r="B8" s="34" t="s">
        <v>170</v>
      </c>
      <c r="C8" s="8" t="s">
        <v>649</v>
      </c>
      <c r="D8" s="35" t="s">
        <v>650</v>
      </c>
      <c r="E8" s="2" t="s">
        <v>509</v>
      </c>
      <c r="F8" s="2" t="s">
        <v>171</v>
      </c>
    </row>
    <row r="9" spans="1:6" ht="21.75" customHeight="1">
      <c r="A9" s="11" t="s">
        <v>508</v>
      </c>
      <c r="B9" s="36" t="s">
        <v>174</v>
      </c>
      <c r="C9" s="13" t="s">
        <v>649</v>
      </c>
      <c r="D9" s="38" t="s">
        <v>651</v>
      </c>
      <c r="E9" s="12" t="s">
        <v>509</v>
      </c>
      <c r="F9" s="16" t="s">
        <v>175</v>
      </c>
    </row>
    <row r="10" spans="1:6" ht="21.75" customHeight="1">
      <c r="A10" s="7" t="s">
        <v>508</v>
      </c>
      <c r="B10" s="34" t="s">
        <v>300</v>
      </c>
      <c r="C10" s="8" t="s">
        <v>649</v>
      </c>
      <c r="D10" s="39" t="s">
        <v>651</v>
      </c>
      <c r="E10" s="2" t="s">
        <v>509</v>
      </c>
      <c r="F10" s="2" t="s">
        <v>301</v>
      </c>
    </row>
    <row r="11" spans="1:6" ht="21.75" customHeight="1">
      <c r="A11" s="11" t="s">
        <v>508</v>
      </c>
      <c r="B11" s="36" t="s">
        <v>376</v>
      </c>
      <c r="C11" s="13" t="s">
        <v>649</v>
      </c>
      <c r="D11" s="38" t="s">
        <v>651</v>
      </c>
      <c r="E11" s="12" t="s">
        <v>509</v>
      </c>
      <c r="F11" s="12" t="s">
        <v>377</v>
      </c>
    </row>
    <row r="12" spans="1:6" ht="21.75" customHeight="1">
      <c r="A12" s="7" t="s">
        <v>508</v>
      </c>
      <c r="B12" s="34" t="s">
        <v>280</v>
      </c>
      <c r="C12" s="8" t="s">
        <v>649</v>
      </c>
      <c r="D12" s="35" t="s">
        <v>650</v>
      </c>
      <c r="E12" s="2" t="s">
        <v>509</v>
      </c>
      <c r="F12" s="2" t="s">
        <v>281</v>
      </c>
    </row>
    <row r="13" spans="1:6" ht="21.75" customHeight="1">
      <c r="A13" s="19" t="s">
        <v>508</v>
      </c>
      <c r="B13" s="40" t="s">
        <v>303</v>
      </c>
      <c r="C13" s="41" t="s">
        <v>652</v>
      </c>
      <c r="D13" s="42" t="s">
        <v>653</v>
      </c>
      <c r="E13" s="22" t="s">
        <v>509</v>
      </c>
      <c r="F13" s="22" t="s">
        <v>304</v>
      </c>
    </row>
    <row r="14" spans="1:6" ht="21.75" customHeight="1">
      <c r="A14" s="7" t="s">
        <v>511</v>
      </c>
      <c r="B14" s="34" t="s">
        <v>220</v>
      </c>
      <c r="C14" s="8" t="s">
        <v>649</v>
      </c>
      <c r="D14" s="35" t="s">
        <v>650</v>
      </c>
      <c r="E14" s="2" t="s">
        <v>512</v>
      </c>
      <c r="F14" s="2" t="s">
        <v>221</v>
      </c>
    </row>
    <row r="15" spans="1:6" ht="21.75" customHeight="1">
      <c r="A15" s="11" t="s">
        <v>511</v>
      </c>
      <c r="B15" s="36" t="s">
        <v>129</v>
      </c>
      <c r="C15" s="13" t="s">
        <v>649</v>
      </c>
      <c r="D15" s="37" t="s">
        <v>650</v>
      </c>
      <c r="E15" s="12" t="s">
        <v>512</v>
      </c>
      <c r="F15" s="12" t="s">
        <v>130</v>
      </c>
    </row>
    <row r="16" spans="1:6" ht="21.75" customHeight="1">
      <c r="A16" s="7" t="s">
        <v>511</v>
      </c>
      <c r="B16" s="34" t="s">
        <v>152</v>
      </c>
      <c r="C16" s="8" t="s">
        <v>649</v>
      </c>
      <c r="D16" s="35" t="s">
        <v>650</v>
      </c>
      <c r="E16" s="2" t="s">
        <v>512</v>
      </c>
      <c r="F16" s="2" t="s">
        <v>153</v>
      </c>
    </row>
    <row r="17" spans="1:6" ht="21.75" customHeight="1">
      <c r="A17" s="11" t="s">
        <v>511</v>
      </c>
      <c r="B17" s="36" t="s">
        <v>177</v>
      </c>
      <c r="C17" s="13" t="s">
        <v>649</v>
      </c>
      <c r="D17" s="37" t="s">
        <v>650</v>
      </c>
      <c r="E17" s="12" t="s">
        <v>512</v>
      </c>
      <c r="F17" s="12" t="s">
        <v>178</v>
      </c>
    </row>
    <row r="18" spans="1:6" ht="21.75" customHeight="1">
      <c r="A18" s="7" t="s">
        <v>511</v>
      </c>
      <c r="B18" s="34" t="s">
        <v>184</v>
      </c>
      <c r="C18" s="8" t="s">
        <v>649</v>
      </c>
      <c r="D18" s="39" t="s">
        <v>651</v>
      </c>
      <c r="E18" s="2" t="s">
        <v>512</v>
      </c>
      <c r="F18" s="2" t="s">
        <v>185</v>
      </c>
    </row>
    <row r="19" spans="1:6" ht="21.75" customHeight="1">
      <c r="A19" s="11" t="s">
        <v>511</v>
      </c>
      <c r="B19" s="36" t="s">
        <v>280</v>
      </c>
      <c r="C19" s="13" t="s">
        <v>649</v>
      </c>
      <c r="D19" s="37" t="s">
        <v>650</v>
      </c>
      <c r="E19" s="12" t="s">
        <v>512</v>
      </c>
      <c r="F19" s="12" t="s">
        <v>281</v>
      </c>
    </row>
    <row r="20" spans="1:6" ht="21.75" customHeight="1">
      <c r="A20" s="19" t="s">
        <v>511</v>
      </c>
      <c r="B20" s="40" t="s">
        <v>303</v>
      </c>
      <c r="C20" s="41" t="s">
        <v>652</v>
      </c>
      <c r="D20" s="42" t="s">
        <v>653</v>
      </c>
      <c r="E20" s="22" t="s">
        <v>512</v>
      </c>
      <c r="F20" s="22" t="s">
        <v>304</v>
      </c>
    </row>
    <row r="21" spans="1:6" ht="21.75" customHeight="1">
      <c r="A21" s="7" t="s">
        <v>514</v>
      </c>
      <c r="B21" s="34" t="s">
        <v>286</v>
      </c>
      <c r="C21" s="8" t="s">
        <v>649</v>
      </c>
      <c r="D21" s="35" t="s">
        <v>650</v>
      </c>
      <c r="E21" s="2" t="s">
        <v>515</v>
      </c>
      <c r="F21" s="2" t="s">
        <v>287</v>
      </c>
    </row>
    <row r="22" spans="1:6" ht="21.75" customHeight="1">
      <c r="A22" s="11" t="s">
        <v>514</v>
      </c>
      <c r="B22" s="36" t="s">
        <v>290</v>
      </c>
      <c r="C22" s="13" t="s">
        <v>649</v>
      </c>
      <c r="D22" s="37" t="s">
        <v>650</v>
      </c>
      <c r="E22" s="12" t="s">
        <v>515</v>
      </c>
      <c r="F22" s="12" t="s">
        <v>291</v>
      </c>
    </row>
    <row r="23" spans="1:6" ht="21.75" customHeight="1">
      <c r="A23" s="7" t="s">
        <v>514</v>
      </c>
      <c r="B23" s="34" t="s">
        <v>293</v>
      </c>
      <c r="C23" s="8" t="s">
        <v>649</v>
      </c>
      <c r="D23" s="39" t="s">
        <v>651</v>
      </c>
      <c r="E23" s="2" t="s">
        <v>515</v>
      </c>
      <c r="F23" s="2" t="s">
        <v>294</v>
      </c>
    </row>
    <row r="24" spans="1:6" ht="21.75" customHeight="1">
      <c r="A24" s="11" t="s">
        <v>514</v>
      </c>
      <c r="B24" s="36" t="s">
        <v>297</v>
      </c>
      <c r="C24" s="13" t="s">
        <v>649</v>
      </c>
      <c r="D24" s="38" t="s">
        <v>651</v>
      </c>
      <c r="E24" s="12" t="s">
        <v>515</v>
      </c>
      <c r="F24" s="12" t="s">
        <v>298</v>
      </c>
    </row>
    <row r="25" spans="1:6" ht="21.75" customHeight="1">
      <c r="A25" s="7" t="s">
        <v>518</v>
      </c>
      <c r="B25" s="34" t="s">
        <v>112</v>
      </c>
      <c r="C25" s="8" t="s">
        <v>649</v>
      </c>
      <c r="D25" s="35" t="s">
        <v>650</v>
      </c>
      <c r="E25" s="4" t="s">
        <v>519</v>
      </c>
      <c r="F25" s="2" t="s">
        <v>113</v>
      </c>
    </row>
    <row r="26" spans="1:6" ht="21.75" customHeight="1">
      <c r="A26" s="11" t="s">
        <v>518</v>
      </c>
      <c r="B26" s="36" t="s">
        <v>120</v>
      </c>
      <c r="C26" s="13" t="s">
        <v>649</v>
      </c>
      <c r="D26" s="37" t="s">
        <v>650</v>
      </c>
      <c r="E26" s="16" t="s">
        <v>519</v>
      </c>
      <c r="F26" s="12" t="s">
        <v>121</v>
      </c>
    </row>
    <row r="27" spans="1:6" ht="21.75" customHeight="1">
      <c r="A27" s="7" t="s">
        <v>518</v>
      </c>
      <c r="B27" s="34" t="s">
        <v>126</v>
      </c>
      <c r="C27" s="8" t="s">
        <v>649</v>
      </c>
      <c r="D27" s="39" t="s">
        <v>651</v>
      </c>
      <c r="E27" s="4" t="s">
        <v>519</v>
      </c>
      <c r="F27" s="2" t="s">
        <v>127</v>
      </c>
    </row>
    <row r="28" spans="1:6" ht="21.75" customHeight="1">
      <c r="A28" s="11" t="s">
        <v>518</v>
      </c>
      <c r="B28" s="36" t="s">
        <v>139</v>
      </c>
      <c r="C28" s="13" t="s">
        <v>649</v>
      </c>
      <c r="D28" s="37" t="s">
        <v>650</v>
      </c>
      <c r="E28" s="16" t="s">
        <v>519</v>
      </c>
      <c r="F28" s="12" t="s">
        <v>140</v>
      </c>
    </row>
    <row r="29" spans="1:6" ht="21.75" customHeight="1">
      <c r="A29" s="7" t="s">
        <v>518</v>
      </c>
      <c r="B29" s="34" t="s">
        <v>145</v>
      </c>
      <c r="C29" s="8" t="s">
        <v>649</v>
      </c>
      <c r="D29" s="35" t="s">
        <v>650</v>
      </c>
      <c r="E29" s="4" t="s">
        <v>519</v>
      </c>
      <c r="F29" s="2" t="s">
        <v>146</v>
      </c>
    </row>
    <row r="30" spans="1:6" ht="21.75" customHeight="1">
      <c r="A30" s="19" t="s">
        <v>518</v>
      </c>
      <c r="B30" s="40" t="s">
        <v>318</v>
      </c>
      <c r="C30" s="41" t="s">
        <v>652</v>
      </c>
      <c r="D30" s="42" t="s">
        <v>653</v>
      </c>
      <c r="E30" s="43" t="s">
        <v>519</v>
      </c>
      <c r="F30" s="22" t="s">
        <v>319</v>
      </c>
    </row>
    <row r="31" spans="1:6" ht="21.75" customHeight="1">
      <c r="A31" s="11" t="s">
        <v>521</v>
      </c>
      <c r="B31" s="36" t="s">
        <v>226</v>
      </c>
      <c r="C31" s="13" t="s">
        <v>649</v>
      </c>
      <c r="D31" s="37" t="s">
        <v>650</v>
      </c>
      <c r="E31" s="12" t="s">
        <v>522</v>
      </c>
      <c r="F31" s="12" t="s">
        <v>227</v>
      </c>
    </row>
    <row r="32" spans="1:6" ht="21.75" customHeight="1">
      <c r="A32" s="7" t="s">
        <v>521</v>
      </c>
      <c r="B32" s="34" t="s">
        <v>163</v>
      </c>
      <c r="C32" s="8" t="s">
        <v>649</v>
      </c>
      <c r="D32" s="39" t="s">
        <v>651</v>
      </c>
      <c r="E32" s="2" t="s">
        <v>522</v>
      </c>
      <c r="F32" s="2" t="s">
        <v>164</v>
      </c>
    </row>
    <row r="33" spans="1:6" ht="21.75" customHeight="1">
      <c r="A33" s="11" t="s">
        <v>521</v>
      </c>
      <c r="B33" s="36" t="s">
        <v>203</v>
      </c>
      <c r="C33" s="13" t="s">
        <v>649</v>
      </c>
      <c r="D33" s="38" t="s">
        <v>651</v>
      </c>
      <c r="E33" s="12" t="s">
        <v>522</v>
      </c>
      <c r="F33" s="12" t="s">
        <v>204</v>
      </c>
    </row>
    <row r="34" spans="1:6" ht="21.75" customHeight="1">
      <c r="A34" s="7" t="s">
        <v>521</v>
      </c>
      <c r="B34" s="34" t="s">
        <v>280</v>
      </c>
      <c r="C34" s="8" t="s">
        <v>649</v>
      </c>
      <c r="D34" s="39" t="s">
        <v>651</v>
      </c>
      <c r="E34" s="2" t="s">
        <v>522</v>
      </c>
      <c r="F34" s="2" t="s">
        <v>281</v>
      </c>
    </row>
    <row r="35" spans="1:6" ht="21.75" customHeight="1">
      <c r="A35" s="19" t="s">
        <v>521</v>
      </c>
      <c r="B35" s="40" t="s">
        <v>315</v>
      </c>
      <c r="C35" s="41" t="s">
        <v>652</v>
      </c>
      <c r="D35" s="42" t="s">
        <v>653</v>
      </c>
      <c r="E35" s="22" t="s">
        <v>522</v>
      </c>
      <c r="F35" s="22" t="s">
        <v>316</v>
      </c>
    </row>
    <row r="36" spans="1:6" ht="21.75" hidden="1" customHeight="1">
      <c r="A36" s="11" t="s">
        <v>524</v>
      </c>
      <c r="B36" s="36" t="s">
        <v>477</v>
      </c>
      <c r="C36" s="13" t="s">
        <v>649</v>
      </c>
      <c r="D36" s="37" t="s">
        <v>650</v>
      </c>
      <c r="E36" s="12" t="s">
        <v>525</v>
      </c>
      <c r="F36" s="12" t="s">
        <v>478</v>
      </c>
    </row>
    <row r="37" spans="1:6" ht="21.75" hidden="1" customHeight="1">
      <c r="A37" s="7" t="s">
        <v>524</v>
      </c>
      <c r="B37" s="34" t="s">
        <v>268</v>
      </c>
      <c r="C37" s="8" t="s">
        <v>649</v>
      </c>
      <c r="D37" s="39" t="s">
        <v>651</v>
      </c>
      <c r="E37" s="2" t="s">
        <v>525</v>
      </c>
      <c r="F37" s="2" t="s">
        <v>269</v>
      </c>
    </row>
    <row r="38" spans="1:6" ht="21.75" hidden="1" customHeight="1">
      <c r="A38" s="11" t="s">
        <v>524</v>
      </c>
      <c r="B38" s="36" t="s">
        <v>471</v>
      </c>
      <c r="C38" s="13" t="s">
        <v>649</v>
      </c>
      <c r="D38" s="38" t="s">
        <v>651</v>
      </c>
      <c r="E38" s="12" t="s">
        <v>525</v>
      </c>
      <c r="F38" s="12" t="s">
        <v>472</v>
      </c>
    </row>
    <row r="39" spans="1:6" ht="21.75" hidden="1" customHeight="1">
      <c r="A39" s="19" t="s">
        <v>524</v>
      </c>
      <c r="B39" s="40" t="s">
        <v>318</v>
      </c>
      <c r="C39" s="41" t="s">
        <v>652</v>
      </c>
      <c r="D39" s="42" t="s">
        <v>653</v>
      </c>
      <c r="E39" s="22" t="s">
        <v>525</v>
      </c>
      <c r="F39" s="22" t="s">
        <v>319</v>
      </c>
    </row>
    <row r="40" spans="1:6" ht="21.75" hidden="1" customHeight="1">
      <c r="A40" s="11" t="s">
        <v>527</v>
      </c>
      <c r="B40" s="36" t="s">
        <v>163</v>
      </c>
      <c r="C40" s="13" t="s">
        <v>649</v>
      </c>
      <c r="D40" s="37" t="s">
        <v>650</v>
      </c>
      <c r="E40" s="16" t="s">
        <v>528</v>
      </c>
      <c r="F40" s="12" t="s">
        <v>164</v>
      </c>
    </row>
    <row r="41" spans="1:6" ht="21.75" hidden="1" customHeight="1">
      <c r="A41" s="7" t="s">
        <v>527</v>
      </c>
      <c r="B41" s="34" t="s">
        <v>209</v>
      </c>
      <c r="C41" s="8" t="s">
        <v>649</v>
      </c>
      <c r="D41" s="35" t="s">
        <v>650</v>
      </c>
      <c r="E41" s="4" t="s">
        <v>528</v>
      </c>
      <c r="F41" s="2" t="s">
        <v>210</v>
      </c>
    </row>
    <row r="42" spans="1:6" ht="21.75" hidden="1" customHeight="1">
      <c r="A42" s="11" t="s">
        <v>527</v>
      </c>
      <c r="B42" s="36" t="s">
        <v>120</v>
      </c>
      <c r="C42" s="13" t="s">
        <v>649</v>
      </c>
      <c r="D42" s="37" t="s">
        <v>650</v>
      </c>
      <c r="E42" s="16" t="s">
        <v>528</v>
      </c>
      <c r="F42" s="12" t="s">
        <v>121</v>
      </c>
    </row>
    <row r="43" spans="1:6" ht="21.75" hidden="1" customHeight="1">
      <c r="A43" s="7" t="s">
        <v>527</v>
      </c>
      <c r="B43" s="34" t="s">
        <v>443</v>
      </c>
      <c r="C43" s="8" t="s">
        <v>649</v>
      </c>
      <c r="D43" s="39" t="s">
        <v>651</v>
      </c>
      <c r="E43" s="4" t="s">
        <v>528</v>
      </c>
      <c r="F43" s="2" t="s">
        <v>444</v>
      </c>
    </row>
    <row r="44" spans="1:6" ht="21.75" hidden="1" customHeight="1">
      <c r="A44" s="11" t="s">
        <v>527</v>
      </c>
      <c r="B44" s="36" t="s">
        <v>242</v>
      </c>
      <c r="C44" s="13" t="s">
        <v>649</v>
      </c>
      <c r="D44" s="38" t="s">
        <v>651</v>
      </c>
      <c r="E44" s="16" t="s">
        <v>528</v>
      </c>
      <c r="F44" s="12" t="s">
        <v>243</v>
      </c>
    </row>
    <row r="45" spans="1:6" ht="21.75" hidden="1" customHeight="1">
      <c r="A45" s="19" t="s">
        <v>527</v>
      </c>
      <c r="B45" s="40" t="s">
        <v>312</v>
      </c>
      <c r="C45" s="41" t="s">
        <v>652</v>
      </c>
      <c r="D45" s="42" t="s">
        <v>653</v>
      </c>
      <c r="E45" s="43" t="s">
        <v>528</v>
      </c>
      <c r="F45" s="22" t="s">
        <v>313</v>
      </c>
    </row>
    <row r="46" spans="1:6" ht="21.75" hidden="1" customHeight="1">
      <c r="A46" s="11" t="s">
        <v>530</v>
      </c>
      <c r="B46" s="36" t="s">
        <v>277</v>
      </c>
      <c r="C46" s="13" t="s">
        <v>649</v>
      </c>
      <c r="D46" s="37" t="s">
        <v>650</v>
      </c>
      <c r="E46" s="12" t="s">
        <v>531</v>
      </c>
      <c r="F46" s="12" t="s">
        <v>278</v>
      </c>
    </row>
    <row r="47" spans="1:6" ht="21.75" hidden="1" customHeight="1">
      <c r="A47" s="7" t="s">
        <v>530</v>
      </c>
      <c r="B47" s="34" t="s">
        <v>139</v>
      </c>
      <c r="C47" s="8" t="s">
        <v>649</v>
      </c>
      <c r="D47" s="35" t="s">
        <v>650</v>
      </c>
      <c r="E47" s="2" t="s">
        <v>531</v>
      </c>
      <c r="F47" s="2" t="s">
        <v>140</v>
      </c>
    </row>
    <row r="48" spans="1:6" ht="21.75" hidden="1" customHeight="1">
      <c r="A48" s="11" t="s">
        <v>530</v>
      </c>
      <c r="B48" s="36" t="s">
        <v>177</v>
      </c>
      <c r="C48" s="13" t="s">
        <v>649</v>
      </c>
      <c r="D48" s="38" t="s">
        <v>651</v>
      </c>
      <c r="E48" s="12" t="s">
        <v>531</v>
      </c>
      <c r="F48" s="12" t="s">
        <v>178</v>
      </c>
    </row>
    <row r="49" spans="1:6" ht="21.75" hidden="1" customHeight="1">
      <c r="A49" s="7" t="s">
        <v>530</v>
      </c>
      <c r="B49" s="34" t="s">
        <v>280</v>
      </c>
      <c r="C49" s="8" t="s">
        <v>649</v>
      </c>
      <c r="D49" s="35" t="s">
        <v>650</v>
      </c>
      <c r="E49" s="2" t="s">
        <v>531</v>
      </c>
      <c r="F49" s="2" t="s">
        <v>281</v>
      </c>
    </row>
    <row r="50" spans="1:6" ht="21.75" hidden="1" customHeight="1">
      <c r="A50" s="19" t="s">
        <v>530</v>
      </c>
      <c r="B50" s="40" t="s">
        <v>303</v>
      </c>
      <c r="C50" s="41" t="s">
        <v>652</v>
      </c>
      <c r="D50" s="42" t="s">
        <v>653</v>
      </c>
      <c r="E50" s="22" t="s">
        <v>531</v>
      </c>
      <c r="F50" s="22" t="s">
        <v>304</v>
      </c>
    </row>
    <row r="51" spans="1:6" ht="21.75" hidden="1" customHeight="1">
      <c r="A51" s="7" t="s">
        <v>533</v>
      </c>
      <c r="B51" s="34" t="s">
        <v>229</v>
      </c>
      <c r="C51" s="8" t="s">
        <v>649</v>
      </c>
      <c r="D51" s="35" t="s">
        <v>650</v>
      </c>
      <c r="E51" s="2" t="s">
        <v>534</v>
      </c>
      <c r="F51" s="2" t="s">
        <v>230</v>
      </c>
    </row>
    <row r="52" spans="1:6" ht="21.75" hidden="1" customHeight="1">
      <c r="A52" s="11" t="s">
        <v>533</v>
      </c>
      <c r="B52" s="36" t="s">
        <v>321</v>
      </c>
      <c r="C52" s="13" t="s">
        <v>649</v>
      </c>
      <c r="D52" s="37" t="s">
        <v>650</v>
      </c>
      <c r="E52" s="12" t="s">
        <v>534</v>
      </c>
      <c r="F52" s="12" t="s">
        <v>322</v>
      </c>
    </row>
    <row r="53" spans="1:6" ht="21.75" hidden="1" customHeight="1">
      <c r="A53" s="7" t="s">
        <v>533</v>
      </c>
      <c r="B53" s="34" t="s">
        <v>327</v>
      </c>
      <c r="C53" s="8" t="s">
        <v>649</v>
      </c>
      <c r="D53" s="39" t="s">
        <v>651</v>
      </c>
      <c r="E53" s="2" t="s">
        <v>534</v>
      </c>
      <c r="F53" s="2" t="s">
        <v>328</v>
      </c>
    </row>
    <row r="54" spans="1:6" ht="21.75" hidden="1" customHeight="1">
      <c r="A54" s="11" t="s">
        <v>533</v>
      </c>
      <c r="B54" s="36" t="s">
        <v>139</v>
      </c>
      <c r="C54" s="13" t="s">
        <v>649</v>
      </c>
      <c r="D54" s="37" t="s">
        <v>650</v>
      </c>
      <c r="E54" s="12" t="s">
        <v>534</v>
      </c>
      <c r="F54" s="12" t="s">
        <v>140</v>
      </c>
    </row>
    <row r="55" spans="1:6" ht="21.75" hidden="1" customHeight="1">
      <c r="A55" s="19" t="s">
        <v>533</v>
      </c>
      <c r="B55" s="40" t="s">
        <v>318</v>
      </c>
      <c r="C55" s="41" t="s">
        <v>652</v>
      </c>
      <c r="D55" s="42" t="s">
        <v>653</v>
      </c>
      <c r="E55" s="22" t="s">
        <v>534</v>
      </c>
      <c r="F55" s="22" t="s">
        <v>319</v>
      </c>
    </row>
    <row r="56" spans="1:6" ht="21.75" hidden="1" customHeight="1">
      <c r="A56" s="11" t="s">
        <v>536</v>
      </c>
      <c r="B56" s="36" t="s">
        <v>232</v>
      </c>
      <c r="C56" s="13" t="s">
        <v>649</v>
      </c>
      <c r="D56" s="37" t="s">
        <v>650</v>
      </c>
      <c r="E56" s="12" t="s">
        <v>537</v>
      </c>
      <c r="F56" s="12" t="s">
        <v>233</v>
      </c>
    </row>
    <row r="57" spans="1:6" ht="21.75" hidden="1" customHeight="1">
      <c r="A57" s="7" t="s">
        <v>536</v>
      </c>
      <c r="B57" s="34" t="s">
        <v>331</v>
      </c>
      <c r="C57" s="8" t="s">
        <v>649</v>
      </c>
      <c r="D57" s="35" t="s">
        <v>650</v>
      </c>
      <c r="E57" s="2" t="s">
        <v>537</v>
      </c>
      <c r="F57" s="2" t="s">
        <v>332</v>
      </c>
    </row>
    <row r="58" spans="1:6" ht="21.75" hidden="1" customHeight="1">
      <c r="A58" s="11" t="s">
        <v>536</v>
      </c>
      <c r="B58" s="36" t="s">
        <v>336</v>
      </c>
      <c r="C58" s="13" t="s">
        <v>649</v>
      </c>
      <c r="D58" s="37" t="s">
        <v>650</v>
      </c>
      <c r="E58" s="12" t="s">
        <v>537</v>
      </c>
      <c r="F58" s="12" t="s">
        <v>337</v>
      </c>
    </row>
    <row r="59" spans="1:6" ht="21.75" hidden="1" customHeight="1">
      <c r="A59" s="7" t="s">
        <v>536</v>
      </c>
      <c r="B59" s="34" t="s">
        <v>342</v>
      </c>
      <c r="C59" s="8" t="s">
        <v>649</v>
      </c>
      <c r="D59" s="39" t="s">
        <v>651</v>
      </c>
      <c r="E59" s="2" t="s">
        <v>537</v>
      </c>
      <c r="F59" s="2" t="s">
        <v>343</v>
      </c>
    </row>
    <row r="60" spans="1:6" ht="21.75" hidden="1" customHeight="1">
      <c r="A60" s="11" t="s">
        <v>536</v>
      </c>
      <c r="B60" s="36" t="s">
        <v>346</v>
      </c>
      <c r="C60" s="13" t="s">
        <v>649</v>
      </c>
      <c r="D60" s="38" t="s">
        <v>651</v>
      </c>
      <c r="E60" s="12" t="s">
        <v>537</v>
      </c>
      <c r="F60" s="12" t="s">
        <v>347</v>
      </c>
    </row>
    <row r="61" spans="1:6" ht="21.75" hidden="1" customHeight="1">
      <c r="A61" s="7" t="s">
        <v>536</v>
      </c>
      <c r="B61" s="34" t="s">
        <v>327</v>
      </c>
      <c r="C61" s="8" t="s">
        <v>649</v>
      </c>
      <c r="D61" s="39" t="s">
        <v>651</v>
      </c>
      <c r="E61" s="2" t="s">
        <v>537</v>
      </c>
      <c r="F61" s="2" t="s">
        <v>328</v>
      </c>
    </row>
    <row r="62" spans="1:6" ht="21.75" hidden="1" customHeight="1">
      <c r="A62" s="11" t="s">
        <v>536</v>
      </c>
      <c r="B62" s="36" t="s">
        <v>135</v>
      </c>
      <c r="C62" s="13" t="s">
        <v>649</v>
      </c>
      <c r="D62" s="38" t="s">
        <v>651</v>
      </c>
      <c r="E62" s="12" t="s">
        <v>537</v>
      </c>
      <c r="F62" s="12" t="s">
        <v>136</v>
      </c>
    </row>
    <row r="63" spans="1:6" ht="21.75" hidden="1" customHeight="1">
      <c r="A63" s="19" t="s">
        <v>536</v>
      </c>
      <c r="B63" s="40" t="s">
        <v>306</v>
      </c>
      <c r="C63" s="41" t="s">
        <v>652</v>
      </c>
      <c r="D63" s="42" t="s">
        <v>653</v>
      </c>
      <c r="E63" s="22" t="s">
        <v>537</v>
      </c>
      <c r="F63" s="22" t="s">
        <v>307</v>
      </c>
    </row>
    <row r="64" spans="1:6" ht="21.75" hidden="1" customHeight="1">
      <c r="A64" s="11" t="s">
        <v>539</v>
      </c>
      <c r="B64" s="36" t="s">
        <v>362</v>
      </c>
      <c r="C64" s="13" t="s">
        <v>649</v>
      </c>
      <c r="D64" s="37" t="s">
        <v>650</v>
      </c>
      <c r="E64" s="12" t="s">
        <v>540</v>
      </c>
      <c r="F64" s="12" t="s">
        <v>363</v>
      </c>
    </row>
    <row r="65" spans="1:6" ht="21.75" hidden="1" customHeight="1">
      <c r="A65" s="7" t="s">
        <v>539</v>
      </c>
      <c r="B65" s="34" t="s">
        <v>365</v>
      </c>
      <c r="C65" s="8" t="s">
        <v>649</v>
      </c>
      <c r="D65" s="39" t="s">
        <v>651</v>
      </c>
      <c r="E65" s="2" t="s">
        <v>540</v>
      </c>
      <c r="F65" s="2" t="s">
        <v>366</v>
      </c>
    </row>
    <row r="66" spans="1:6" ht="21.75" hidden="1" customHeight="1">
      <c r="A66" s="11" t="s">
        <v>539</v>
      </c>
      <c r="B66" s="36" t="s">
        <v>368</v>
      </c>
      <c r="C66" s="13" t="s">
        <v>649</v>
      </c>
      <c r="D66" s="38" t="s">
        <v>651</v>
      </c>
      <c r="E66" s="12" t="s">
        <v>540</v>
      </c>
      <c r="F66" s="12" t="s">
        <v>369</v>
      </c>
    </row>
    <row r="67" spans="1:6" ht="21.75" hidden="1" customHeight="1">
      <c r="A67" s="7" t="s">
        <v>539</v>
      </c>
      <c r="B67" s="34" t="s">
        <v>371</v>
      </c>
      <c r="C67" s="8" t="s">
        <v>649</v>
      </c>
      <c r="D67" s="35" t="s">
        <v>650</v>
      </c>
      <c r="E67" s="2" t="s">
        <v>540</v>
      </c>
      <c r="F67" s="2" t="s">
        <v>372</v>
      </c>
    </row>
    <row r="68" spans="1:6" ht="21.75" hidden="1" customHeight="1">
      <c r="A68" s="11" t="s">
        <v>539</v>
      </c>
      <c r="B68" s="36" t="s">
        <v>331</v>
      </c>
      <c r="C68" s="13" t="s">
        <v>649</v>
      </c>
      <c r="D68" s="38" t="s">
        <v>651</v>
      </c>
      <c r="E68" s="12" t="s">
        <v>540</v>
      </c>
      <c r="F68" s="12" t="s">
        <v>332</v>
      </c>
    </row>
    <row r="69" spans="1:6" ht="21.75" hidden="1" customHeight="1">
      <c r="A69" s="19" t="s">
        <v>539</v>
      </c>
      <c r="B69" s="40" t="s">
        <v>306</v>
      </c>
      <c r="C69" s="41" t="s">
        <v>652</v>
      </c>
      <c r="D69" s="42" t="s">
        <v>653</v>
      </c>
      <c r="E69" s="22" t="s">
        <v>540</v>
      </c>
      <c r="F69" s="22" t="s">
        <v>307</v>
      </c>
    </row>
    <row r="70" spans="1:6" ht="21.75" hidden="1" customHeight="1">
      <c r="A70" s="11" t="s">
        <v>542</v>
      </c>
      <c r="B70" s="36" t="s">
        <v>232</v>
      </c>
      <c r="C70" s="13" t="s">
        <v>649</v>
      </c>
      <c r="D70" s="37" t="s">
        <v>650</v>
      </c>
      <c r="E70" s="12" t="s">
        <v>543</v>
      </c>
      <c r="F70" s="12" t="s">
        <v>233</v>
      </c>
    </row>
    <row r="71" spans="1:6" ht="21.75" hidden="1" customHeight="1">
      <c r="A71" s="7" t="s">
        <v>542</v>
      </c>
      <c r="B71" s="34" t="s">
        <v>352</v>
      </c>
      <c r="C71" s="8" t="s">
        <v>649</v>
      </c>
      <c r="D71" s="35" t="s">
        <v>650</v>
      </c>
      <c r="E71" s="2" t="s">
        <v>543</v>
      </c>
      <c r="F71" s="2" t="s">
        <v>353</v>
      </c>
    </row>
    <row r="72" spans="1:6" ht="21.75" hidden="1" customHeight="1">
      <c r="A72" s="11" t="s">
        <v>542</v>
      </c>
      <c r="B72" s="36" t="s">
        <v>135</v>
      </c>
      <c r="C72" s="13" t="s">
        <v>649</v>
      </c>
      <c r="D72" s="37" t="s">
        <v>650</v>
      </c>
      <c r="E72" s="12" t="s">
        <v>543</v>
      </c>
      <c r="F72" s="12" t="s">
        <v>136</v>
      </c>
    </row>
    <row r="73" spans="1:6" ht="21.75" hidden="1" customHeight="1">
      <c r="A73" s="7" t="s">
        <v>542</v>
      </c>
      <c r="B73" s="34" t="s">
        <v>327</v>
      </c>
      <c r="C73" s="8" t="s">
        <v>649</v>
      </c>
      <c r="D73" s="39" t="s">
        <v>651</v>
      </c>
      <c r="E73" s="2" t="s">
        <v>543</v>
      </c>
      <c r="F73" s="2" t="s">
        <v>328</v>
      </c>
    </row>
    <row r="74" spans="1:6" ht="21.75" hidden="1" customHeight="1">
      <c r="A74" s="19" t="s">
        <v>542</v>
      </c>
      <c r="B74" s="40" t="s">
        <v>306</v>
      </c>
      <c r="C74" s="41" t="s">
        <v>652</v>
      </c>
      <c r="D74" s="42" t="s">
        <v>653</v>
      </c>
      <c r="E74" s="22" t="s">
        <v>543</v>
      </c>
      <c r="F74" s="22" t="s">
        <v>307</v>
      </c>
    </row>
    <row r="75" spans="1:6" ht="21.75" hidden="1" customHeight="1">
      <c r="A75" s="7" t="s">
        <v>545</v>
      </c>
      <c r="B75" s="34" t="s">
        <v>232</v>
      </c>
      <c r="C75" s="8" t="s">
        <v>649</v>
      </c>
      <c r="D75" s="35" t="s">
        <v>650</v>
      </c>
      <c r="E75" s="2" t="s">
        <v>546</v>
      </c>
      <c r="F75" s="2" t="s">
        <v>233</v>
      </c>
    </row>
    <row r="76" spans="1:6" ht="21.75" hidden="1" customHeight="1">
      <c r="A76" s="11" t="s">
        <v>545</v>
      </c>
      <c r="B76" s="36" t="s">
        <v>331</v>
      </c>
      <c r="C76" s="13" t="s">
        <v>649</v>
      </c>
      <c r="D76" s="38" t="s">
        <v>651</v>
      </c>
      <c r="E76" s="12" t="s">
        <v>546</v>
      </c>
      <c r="F76" s="12" t="s">
        <v>332</v>
      </c>
    </row>
    <row r="77" spans="1:6" ht="21.75" hidden="1" customHeight="1">
      <c r="A77" s="7" t="s">
        <v>545</v>
      </c>
      <c r="B77" s="34" t="s">
        <v>365</v>
      </c>
      <c r="C77" s="8" t="s">
        <v>649</v>
      </c>
      <c r="D77" s="39" t="s">
        <v>651</v>
      </c>
      <c r="E77" s="2" t="s">
        <v>546</v>
      </c>
      <c r="F77" s="2" t="s">
        <v>366</v>
      </c>
    </row>
    <row r="78" spans="1:6" ht="21.75" hidden="1" customHeight="1">
      <c r="A78" s="11" t="s">
        <v>545</v>
      </c>
      <c r="B78" s="36" t="s">
        <v>336</v>
      </c>
      <c r="C78" s="13" t="s">
        <v>649</v>
      </c>
      <c r="D78" s="38" t="s">
        <v>651</v>
      </c>
      <c r="E78" s="12" t="s">
        <v>546</v>
      </c>
      <c r="F78" s="12" t="s">
        <v>337</v>
      </c>
    </row>
    <row r="79" spans="1:6" ht="21.75" hidden="1" customHeight="1">
      <c r="A79" s="19" t="s">
        <v>545</v>
      </c>
      <c r="B79" s="40" t="s">
        <v>318</v>
      </c>
      <c r="C79" s="41" t="s">
        <v>652</v>
      </c>
      <c r="D79" s="42" t="s">
        <v>653</v>
      </c>
      <c r="E79" s="22" t="s">
        <v>546</v>
      </c>
      <c r="F79" s="22" t="s">
        <v>319</v>
      </c>
    </row>
    <row r="80" spans="1:6" ht="21.75" hidden="1" customHeight="1">
      <c r="A80" s="11" t="s">
        <v>548</v>
      </c>
      <c r="B80" s="36" t="s">
        <v>238</v>
      </c>
      <c r="C80" s="13" t="s">
        <v>649</v>
      </c>
      <c r="D80" s="37" t="s">
        <v>650</v>
      </c>
      <c r="E80" s="12" t="s">
        <v>549</v>
      </c>
      <c r="F80" s="12" t="s">
        <v>239</v>
      </c>
    </row>
    <row r="81" spans="1:6" ht="21.75" hidden="1" customHeight="1">
      <c r="A81" s="7" t="s">
        <v>548</v>
      </c>
      <c r="B81" s="34" t="s">
        <v>112</v>
      </c>
      <c r="C81" s="8" t="s">
        <v>649</v>
      </c>
      <c r="D81" s="35" t="s">
        <v>650</v>
      </c>
      <c r="E81" s="2" t="s">
        <v>549</v>
      </c>
      <c r="F81" s="2" t="s">
        <v>113</v>
      </c>
    </row>
    <row r="82" spans="1:6" ht="21.75" hidden="1" customHeight="1">
      <c r="A82" s="11" t="s">
        <v>548</v>
      </c>
      <c r="B82" s="36" t="s">
        <v>300</v>
      </c>
      <c r="C82" s="13" t="s">
        <v>649</v>
      </c>
      <c r="D82" s="38" t="s">
        <v>651</v>
      </c>
      <c r="E82" s="12" t="s">
        <v>549</v>
      </c>
      <c r="F82" s="12" t="s">
        <v>301</v>
      </c>
    </row>
    <row r="83" spans="1:6" ht="21.75" hidden="1" customHeight="1">
      <c r="A83" s="7" t="s">
        <v>548</v>
      </c>
      <c r="B83" s="34" t="s">
        <v>293</v>
      </c>
      <c r="C83" s="8" t="s">
        <v>649</v>
      </c>
      <c r="D83" s="39" t="s">
        <v>651</v>
      </c>
      <c r="E83" s="2" t="s">
        <v>549</v>
      </c>
      <c r="F83" s="2" t="s">
        <v>294</v>
      </c>
    </row>
    <row r="84" spans="1:6" ht="21.75" hidden="1" customHeight="1">
      <c r="A84" s="19" t="s">
        <v>548</v>
      </c>
      <c r="B84" s="40" t="s">
        <v>315</v>
      </c>
      <c r="C84" s="41" t="s">
        <v>652</v>
      </c>
      <c r="D84" s="42" t="s">
        <v>653</v>
      </c>
      <c r="E84" s="22" t="s">
        <v>549</v>
      </c>
      <c r="F84" s="22" t="s">
        <v>316</v>
      </c>
    </row>
    <row r="85" spans="1:6" ht="21.75" hidden="1" customHeight="1">
      <c r="A85" s="7" t="s">
        <v>551</v>
      </c>
      <c r="B85" s="34" t="s">
        <v>238</v>
      </c>
      <c r="C85" s="8" t="s">
        <v>649</v>
      </c>
      <c r="D85" s="35" t="s">
        <v>650</v>
      </c>
      <c r="E85" s="2" t="s">
        <v>552</v>
      </c>
      <c r="F85" s="2" t="s">
        <v>239</v>
      </c>
    </row>
    <row r="86" spans="1:6" ht="21.75" hidden="1" customHeight="1">
      <c r="A86" s="11" t="s">
        <v>551</v>
      </c>
      <c r="B86" s="36" t="s">
        <v>300</v>
      </c>
      <c r="C86" s="13" t="s">
        <v>649</v>
      </c>
      <c r="D86" s="37" t="s">
        <v>650</v>
      </c>
      <c r="E86" s="12" t="s">
        <v>552</v>
      </c>
      <c r="F86" s="12" t="s">
        <v>301</v>
      </c>
    </row>
    <row r="87" spans="1:6" ht="21.75" hidden="1" customHeight="1">
      <c r="A87" s="7" t="s">
        <v>551</v>
      </c>
      <c r="B87" s="34" t="s">
        <v>163</v>
      </c>
      <c r="C87" s="8" t="s">
        <v>649</v>
      </c>
      <c r="D87" s="39" t="s">
        <v>651</v>
      </c>
      <c r="E87" s="2" t="s">
        <v>552</v>
      </c>
      <c r="F87" s="2" t="s">
        <v>164</v>
      </c>
    </row>
    <row r="88" spans="1:6" ht="21.75" hidden="1" customHeight="1">
      <c r="A88" s="11" t="s">
        <v>551</v>
      </c>
      <c r="B88" s="36" t="s">
        <v>112</v>
      </c>
      <c r="C88" s="13" t="s">
        <v>649</v>
      </c>
      <c r="D88" s="37" t="s">
        <v>650</v>
      </c>
      <c r="E88" s="12" t="s">
        <v>552</v>
      </c>
      <c r="F88" s="12" t="s">
        <v>113</v>
      </c>
    </row>
    <row r="89" spans="1:6" ht="21.75" hidden="1" customHeight="1">
      <c r="A89" s="19" t="s">
        <v>551</v>
      </c>
      <c r="B89" s="40" t="s">
        <v>315</v>
      </c>
      <c r="C89" s="41" t="s">
        <v>652</v>
      </c>
      <c r="D89" s="42" t="s">
        <v>653</v>
      </c>
      <c r="E89" s="22" t="s">
        <v>552</v>
      </c>
      <c r="F89" s="22" t="s">
        <v>316</v>
      </c>
    </row>
    <row r="90" spans="1:6" ht="21.75" hidden="1" customHeight="1">
      <c r="A90" s="11" t="s">
        <v>554</v>
      </c>
      <c r="B90" s="36" t="s">
        <v>309</v>
      </c>
      <c r="C90" s="13" t="s">
        <v>649</v>
      </c>
      <c r="D90" s="37" t="s">
        <v>650</v>
      </c>
      <c r="E90" s="12" t="s">
        <v>555</v>
      </c>
      <c r="F90" s="12" t="s">
        <v>310</v>
      </c>
    </row>
    <row r="91" spans="1:6" ht="21.75" hidden="1" customHeight="1">
      <c r="A91" s="7" t="s">
        <v>554</v>
      </c>
      <c r="B91" s="34" t="s">
        <v>191</v>
      </c>
      <c r="C91" s="8" t="s">
        <v>649</v>
      </c>
      <c r="D91" s="35" t="s">
        <v>650</v>
      </c>
      <c r="E91" s="2" t="s">
        <v>555</v>
      </c>
      <c r="F91" s="2" t="s">
        <v>192</v>
      </c>
    </row>
    <row r="92" spans="1:6" ht="21.75" hidden="1" customHeight="1">
      <c r="A92" s="11" t="s">
        <v>554</v>
      </c>
      <c r="B92" s="36" t="s">
        <v>197</v>
      </c>
      <c r="C92" s="13" t="s">
        <v>649</v>
      </c>
      <c r="D92" s="38" t="s">
        <v>651</v>
      </c>
      <c r="E92" s="12" t="s">
        <v>555</v>
      </c>
      <c r="F92" s="12" t="s">
        <v>198</v>
      </c>
    </row>
    <row r="93" spans="1:6" ht="21.75" hidden="1" customHeight="1">
      <c r="A93" s="7" t="s">
        <v>554</v>
      </c>
      <c r="B93" s="34" t="s">
        <v>388</v>
      </c>
      <c r="C93" s="8" t="s">
        <v>649</v>
      </c>
      <c r="D93" s="39" t="s">
        <v>651</v>
      </c>
      <c r="E93" s="2" t="s">
        <v>555</v>
      </c>
      <c r="F93" s="2" t="s">
        <v>389</v>
      </c>
    </row>
    <row r="94" spans="1:6" ht="21.75" hidden="1" customHeight="1">
      <c r="A94" s="19" t="s">
        <v>554</v>
      </c>
      <c r="B94" s="40" t="s">
        <v>318</v>
      </c>
      <c r="C94" s="41" t="s">
        <v>652</v>
      </c>
      <c r="D94" s="42" t="s">
        <v>653</v>
      </c>
      <c r="E94" s="22" t="s">
        <v>555</v>
      </c>
      <c r="F94" s="22" t="s">
        <v>319</v>
      </c>
    </row>
    <row r="95" spans="1:6" ht="21.75" hidden="1" customHeight="1">
      <c r="A95" s="7" t="s">
        <v>557</v>
      </c>
      <c r="B95" s="34" t="s">
        <v>385</v>
      </c>
      <c r="C95" s="8" t="s">
        <v>649</v>
      </c>
      <c r="D95" s="35" t="s">
        <v>650</v>
      </c>
      <c r="E95" s="2" t="s">
        <v>558</v>
      </c>
      <c r="F95" s="2" t="s">
        <v>386</v>
      </c>
    </row>
    <row r="96" spans="1:6" ht="21.75" hidden="1" customHeight="1">
      <c r="A96" s="11" t="s">
        <v>557</v>
      </c>
      <c r="B96" s="36" t="s">
        <v>388</v>
      </c>
      <c r="C96" s="13" t="s">
        <v>649</v>
      </c>
      <c r="D96" s="37" t="s">
        <v>650</v>
      </c>
      <c r="E96" s="12" t="s">
        <v>558</v>
      </c>
      <c r="F96" s="12" t="s">
        <v>389</v>
      </c>
    </row>
    <row r="97" spans="1:6" ht="21.75" hidden="1" customHeight="1">
      <c r="A97" s="7" t="s">
        <v>557</v>
      </c>
      <c r="B97" s="34" t="s">
        <v>112</v>
      </c>
      <c r="C97" s="8" t="s">
        <v>649</v>
      </c>
      <c r="D97" s="35" t="s">
        <v>650</v>
      </c>
      <c r="E97" s="2" t="s">
        <v>558</v>
      </c>
      <c r="F97" s="2" t="s">
        <v>113</v>
      </c>
    </row>
    <row r="98" spans="1:6" ht="21.75" hidden="1" customHeight="1">
      <c r="A98" s="11" t="s">
        <v>557</v>
      </c>
      <c r="B98" s="36" t="s">
        <v>170</v>
      </c>
      <c r="C98" s="13" t="s">
        <v>649</v>
      </c>
      <c r="D98" s="38" t="s">
        <v>651</v>
      </c>
      <c r="E98" s="12" t="s">
        <v>558</v>
      </c>
      <c r="F98" s="12" t="s">
        <v>171</v>
      </c>
    </row>
    <row r="99" spans="1:6" ht="21.75" hidden="1" customHeight="1">
      <c r="A99" s="19" t="s">
        <v>557</v>
      </c>
      <c r="B99" s="40" t="s">
        <v>315</v>
      </c>
      <c r="C99" s="41" t="s">
        <v>652</v>
      </c>
      <c r="D99" s="42" t="s">
        <v>653</v>
      </c>
      <c r="E99" s="22" t="s">
        <v>558</v>
      </c>
      <c r="F99" s="22" t="s">
        <v>316</v>
      </c>
    </row>
    <row r="100" spans="1:6" ht="21.75" hidden="1" customHeight="1">
      <c r="A100" s="11" t="s">
        <v>560</v>
      </c>
      <c r="B100" s="36" t="s">
        <v>242</v>
      </c>
      <c r="C100" s="13" t="s">
        <v>649</v>
      </c>
      <c r="D100" s="37" t="s">
        <v>650</v>
      </c>
      <c r="E100" s="12" t="s">
        <v>561</v>
      </c>
      <c r="F100" s="12" t="s">
        <v>243</v>
      </c>
    </row>
    <row r="101" spans="1:6" ht="21.75" hidden="1" customHeight="1">
      <c r="A101" s="7" t="s">
        <v>560</v>
      </c>
      <c r="B101" s="34" t="s">
        <v>388</v>
      </c>
      <c r="C101" s="8" t="s">
        <v>649</v>
      </c>
      <c r="D101" s="39" t="s">
        <v>651</v>
      </c>
      <c r="E101" s="2" t="s">
        <v>561</v>
      </c>
      <c r="F101" s="2" t="s">
        <v>389</v>
      </c>
    </row>
    <row r="102" spans="1:6" ht="21.75" hidden="1" customHeight="1">
      <c r="A102" s="11" t="s">
        <v>560</v>
      </c>
      <c r="B102" s="36" t="s">
        <v>456</v>
      </c>
      <c r="C102" s="13" t="s">
        <v>649</v>
      </c>
      <c r="D102" s="38" t="s">
        <v>651</v>
      </c>
      <c r="E102" s="12" t="s">
        <v>561</v>
      </c>
      <c r="F102" s="12" t="s">
        <v>457</v>
      </c>
    </row>
    <row r="103" spans="1:6" ht="21.75" hidden="1" customHeight="1">
      <c r="A103" s="7" t="s">
        <v>563</v>
      </c>
      <c r="B103" s="34" t="s">
        <v>391</v>
      </c>
      <c r="C103" s="8" t="s">
        <v>649</v>
      </c>
      <c r="D103" s="35" t="s">
        <v>650</v>
      </c>
      <c r="E103" s="2" t="s">
        <v>564</v>
      </c>
      <c r="F103" s="2" t="s">
        <v>392</v>
      </c>
    </row>
    <row r="104" spans="1:6" ht="21.75" hidden="1" customHeight="1">
      <c r="A104" s="11" t="s">
        <v>563</v>
      </c>
      <c r="B104" s="36" t="s">
        <v>394</v>
      </c>
      <c r="C104" s="13" t="s">
        <v>649</v>
      </c>
      <c r="D104" s="37" t="s">
        <v>650</v>
      </c>
      <c r="E104" s="12" t="s">
        <v>564</v>
      </c>
      <c r="F104" s="12" t="s">
        <v>395</v>
      </c>
    </row>
    <row r="105" spans="1:6" ht="21.75" hidden="1" customHeight="1">
      <c r="A105" s="7" t="s">
        <v>563</v>
      </c>
      <c r="B105" s="34" t="s">
        <v>376</v>
      </c>
      <c r="C105" s="8" t="s">
        <v>649</v>
      </c>
      <c r="D105" s="39" t="s">
        <v>651</v>
      </c>
      <c r="E105" s="2" t="s">
        <v>564</v>
      </c>
      <c r="F105" s="2" t="s">
        <v>377</v>
      </c>
    </row>
    <row r="106" spans="1:6" ht="21.75" hidden="1" customHeight="1">
      <c r="A106" s="11" t="s">
        <v>566</v>
      </c>
      <c r="B106" s="36" t="s">
        <v>394</v>
      </c>
      <c r="C106" s="13" t="s">
        <v>649</v>
      </c>
      <c r="D106" s="37" t="s">
        <v>650</v>
      </c>
      <c r="E106" s="12" t="s">
        <v>567</v>
      </c>
      <c r="F106" s="12" t="s">
        <v>395</v>
      </c>
    </row>
    <row r="107" spans="1:6" ht="21.75" hidden="1" customHeight="1">
      <c r="A107" s="7" t="s">
        <v>566</v>
      </c>
      <c r="B107" s="34" t="s">
        <v>129</v>
      </c>
      <c r="C107" s="8" t="s">
        <v>649</v>
      </c>
      <c r="D107" s="39" t="s">
        <v>651</v>
      </c>
      <c r="E107" s="2" t="s">
        <v>567</v>
      </c>
      <c r="F107" s="2" t="s">
        <v>130</v>
      </c>
    </row>
    <row r="108" spans="1:6" ht="21.75" hidden="1" customHeight="1">
      <c r="A108" s="19" t="s">
        <v>566</v>
      </c>
      <c r="B108" s="40" t="s">
        <v>315</v>
      </c>
      <c r="C108" s="41" t="s">
        <v>652</v>
      </c>
      <c r="D108" s="42" t="s">
        <v>653</v>
      </c>
      <c r="E108" s="22" t="s">
        <v>567</v>
      </c>
      <c r="F108" s="22" t="s">
        <v>316</v>
      </c>
    </row>
    <row r="109" spans="1:6" ht="21.75" hidden="1" customHeight="1">
      <c r="A109" s="7" t="s">
        <v>569</v>
      </c>
      <c r="B109" s="34" t="s">
        <v>327</v>
      </c>
      <c r="C109" s="8" t="s">
        <v>649</v>
      </c>
      <c r="D109" s="35" t="s">
        <v>650</v>
      </c>
      <c r="E109" s="2" t="s">
        <v>570</v>
      </c>
      <c r="F109" s="2" t="s">
        <v>328</v>
      </c>
    </row>
    <row r="110" spans="1:6" ht="21.75" hidden="1" customHeight="1">
      <c r="A110" s="11" t="s">
        <v>569</v>
      </c>
      <c r="B110" s="36" t="s">
        <v>331</v>
      </c>
      <c r="C110" s="13" t="s">
        <v>649</v>
      </c>
      <c r="D110" s="37" t="s">
        <v>650</v>
      </c>
      <c r="E110" s="12" t="s">
        <v>570</v>
      </c>
      <c r="F110" s="12" t="s">
        <v>332</v>
      </c>
    </row>
    <row r="111" spans="1:6" ht="21.75" hidden="1" customHeight="1">
      <c r="A111" s="7" t="s">
        <v>569</v>
      </c>
      <c r="B111" s="34" t="s">
        <v>342</v>
      </c>
      <c r="C111" s="8" t="s">
        <v>649</v>
      </c>
      <c r="D111" s="39" t="s">
        <v>651</v>
      </c>
      <c r="E111" s="2" t="s">
        <v>570</v>
      </c>
      <c r="F111" s="2" t="s">
        <v>343</v>
      </c>
    </row>
    <row r="112" spans="1:6" ht="21.75" hidden="1" customHeight="1">
      <c r="A112" s="11" t="s">
        <v>572</v>
      </c>
      <c r="B112" s="36" t="s">
        <v>336</v>
      </c>
      <c r="C112" s="13" t="s">
        <v>649</v>
      </c>
      <c r="D112" s="37" t="s">
        <v>650</v>
      </c>
      <c r="E112" s="12" t="s">
        <v>573</v>
      </c>
      <c r="F112" s="12" t="s">
        <v>337</v>
      </c>
    </row>
    <row r="113" spans="1:6" ht="21.75" hidden="1" customHeight="1">
      <c r="A113" s="7" t="s">
        <v>572</v>
      </c>
      <c r="B113" s="34" t="s">
        <v>346</v>
      </c>
      <c r="C113" s="8" t="s">
        <v>649</v>
      </c>
      <c r="D113" s="39" t="s">
        <v>651</v>
      </c>
      <c r="E113" s="2" t="s">
        <v>573</v>
      </c>
      <c r="F113" s="2" t="s">
        <v>347</v>
      </c>
    </row>
    <row r="114" spans="1:6" ht="21.75" hidden="1" customHeight="1">
      <c r="A114" s="11" t="s">
        <v>572</v>
      </c>
      <c r="B114" s="36" t="s">
        <v>355</v>
      </c>
      <c r="C114" s="13" t="s">
        <v>649</v>
      </c>
      <c r="D114" s="38" t="s">
        <v>651</v>
      </c>
      <c r="E114" s="12" t="s">
        <v>573</v>
      </c>
      <c r="F114" s="12" t="s">
        <v>356</v>
      </c>
    </row>
    <row r="115" spans="1:6" ht="21.75" hidden="1" customHeight="1">
      <c r="A115" s="19" t="s">
        <v>572</v>
      </c>
      <c r="B115" s="40" t="s">
        <v>318</v>
      </c>
      <c r="C115" s="41" t="s">
        <v>652</v>
      </c>
      <c r="D115" s="42" t="s">
        <v>653</v>
      </c>
      <c r="E115" s="22" t="s">
        <v>573</v>
      </c>
      <c r="F115" s="22" t="s">
        <v>319</v>
      </c>
    </row>
    <row r="116" spans="1:6" ht="21.75" hidden="1" customHeight="1">
      <c r="A116" s="11" t="s">
        <v>575</v>
      </c>
      <c r="B116" s="36" t="s">
        <v>321</v>
      </c>
      <c r="C116" s="13" t="s">
        <v>649</v>
      </c>
      <c r="D116" s="37" t="s">
        <v>650</v>
      </c>
      <c r="E116" s="12" t="s">
        <v>576</v>
      </c>
      <c r="F116" s="12" t="s">
        <v>322</v>
      </c>
    </row>
    <row r="117" spans="1:6" ht="21.75" hidden="1" customHeight="1">
      <c r="A117" s="7" t="s">
        <v>575</v>
      </c>
      <c r="B117" s="34" t="s">
        <v>359</v>
      </c>
      <c r="C117" s="8" t="s">
        <v>649</v>
      </c>
      <c r="D117" s="39" t="s">
        <v>651</v>
      </c>
      <c r="E117" s="2" t="s">
        <v>576</v>
      </c>
      <c r="F117" s="2" t="s">
        <v>360</v>
      </c>
    </row>
    <row r="118" spans="1:6" ht="21.75" customHeight="1">
      <c r="A118" s="11" t="s">
        <v>578</v>
      </c>
      <c r="B118" s="36" t="s">
        <v>433</v>
      </c>
      <c r="C118" s="13" t="s">
        <v>649</v>
      </c>
      <c r="D118" s="37" t="s">
        <v>650</v>
      </c>
      <c r="E118" s="12" t="s">
        <v>579</v>
      </c>
      <c r="F118" s="12" t="s">
        <v>434</v>
      </c>
    </row>
    <row r="119" spans="1:6" ht="21.75" customHeight="1">
      <c r="A119" s="7" t="s">
        <v>578</v>
      </c>
      <c r="B119" s="34" t="s">
        <v>257</v>
      </c>
      <c r="C119" s="8" t="s">
        <v>649</v>
      </c>
      <c r="D119" s="39" t="s">
        <v>651</v>
      </c>
      <c r="E119" s="2" t="s">
        <v>579</v>
      </c>
      <c r="F119" s="2" t="s">
        <v>258</v>
      </c>
    </row>
    <row r="120" spans="1:6" ht="21.75" customHeight="1">
      <c r="A120" s="11" t="s">
        <v>578</v>
      </c>
      <c r="B120" s="36" t="s">
        <v>388</v>
      </c>
      <c r="C120" s="13" t="s">
        <v>649</v>
      </c>
      <c r="D120" s="38" t="s">
        <v>651</v>
      </c>
      <c r="E120" s="12" t="s">
        <v>579</v>
      </c>
      <c r="F120" s="12" t="s">
        <v>389</v>
      </c>
    </row>
    <row r="121" spans="1:6" ht="21.75" customHeight="1">
      <c r="A121" s="7" t="s">
        <v>581</v>
      </c>
      <c r="B121" s="34" t="s">
        <v>499</v>
      </c>
      <c r="C121" s="8" t="s">
        <v>649</v>
      </c>
      <c r="D121" s="35" t="s">
        <v>650</v>
      </c>
      <c r="E121" s="2" t="s">
        <v>582</v>
      </c>
      <c r="F121" s="2" t="s">
        <v>500</v>
      </c>
    </row>
    <row r="122" spans="1:6" ht="21.75" customHeight="1">
      <c r="A122" s="11" t="s">
        <v>581</v>
      </c>
      <c r="B122" s="36" t="s">
        <v>496</v>
      </c>
      <c r="C122" s="13" t="s">
        <v>649</v>
      </c>
      <c r="D122" s="37" t="s">
        <v>650</v>
      </c>
      <c r="E122" s="12" t="s">
        <v>582</v>
      </c>
      <c r="F122" s="12" t="s">
        <v>497</v>
      </c>
    </row>
    <row r="123" spans="1:6" ht="21.75" customHeight="1">
      <c r="A123" s="7" t="s">
        <v>581</v>
      </c>
      <c r="B123" s="34" t="s">
        <v>433</v>
      </c>
      <c r="C123" s="8" t="s">
        <v>649</v>
      </c>
      <c r="D123" s="39" t="s">
        <v>651</v>
      </c>
      <c r="E123" s="2" t="s">
        <v>582</v>
      </c>
      <c r="F123" s="2" t="s">
        <v>434</v>
      </c>
    </row>
    <row r="124" spans="1:6" ht="21.75" customHeight="1">
      <c r="A124" s="19" t="s">
        <v>581</v>
      </c>
      <c r="B124" s="40" t="s">
        <v>318</v>
      </c>
      <c r="C124" s="41" t="s">
        <v>652</v>
      </c>
      <c r="D124" s="42" t="s">
        <v>653</v>
      </c>
      <c r="E124" s="22" t="s">
        <v>582</v>
      </c>
      <c r="F124" s="22" t="s">
        <v>319</v>
      </c>
    </row>
    <row r="125" spans="1:6" ht="21.75" customHeight="1">
      <c r="A125" s="7" t="s">
        <v>584</v>
      </c>
      <c r="B125" s="34" t="s">
        <v>112</v>
      </c>
      <c r="C125" s="8" t="s">
        <v>649</v>
      </c>
      <c r="D125" s="35" t="s">
        <v>650</v>
      </c>
      <c r="E125" s="2" t="s">
        <v>585</v>
      </c>
      <c r="F125" s="2" t="s">
        <v>113</v>
      </c>
    </row>
    <row r="126" spans="1:6" ht="21.75" customHeight="1">
      <c r="A126" s="11" t="s">
        <v>584</v>
      </c>
      <c r="B126" s="36" t="s">
        <v>163</v>
      </c>
      <c r="C126" s="13" t="s">
        <v>649</v>
      </c>
      <c r="D126" s="38" t="s">
        <v>651</v>
      </c>
      <c r="E126" s="12" t="s">
        <v>585</v>
      </c>
      <c r="F126" s="12" t="s">
        <v>164</v>
      </c>
    </row>
    <row r="127" spans="1:6" ht="21.75" customHeight="1">
      <c r="A127" s="7" t="s">
        <v>584</v>
      </c>
      <c r="B127" s="34" t="s">
        <v>496</v>
      </c>
      <c r="C127" s="8" t="s">
        <v>649</v>
      </c>
      <c r="D127" s="39" t="s">
        <v>651</v>
      </c>
      <c r="E127" s="2" t="s">
        <v>585</v>
      </c>
      <c r="F127" s="2" t="s">
        <v>497</v>
      </c>
    </row>
    <row r="128" spans="1:6" ht="21.75" customHeight="1">
      <c r="A128" s="19" t="s">
        <v>584</v>
      </c>
      <c r="B128" s="40" t="s">
        <v>318</v>
      </c>
      <c r="C128" s="41" t="s">
        <v>652</v>
      </c>
      <c r="D128" s="42" t="s">
        <v>653</v>
      </c>
      <c r="E128" s="22" t="s">
        <v>585</v>
      </c>
      <c r="F128" s="22" t="s">
        <v>319</v>
      </c>
    </row>
    <row r="129" spans="1:6" ht="21.75" customHeight="1">
      <c r="A129" s="7" t="s">
        <v>587</v>
      </c>
      <c r="B129" s="34" t="s">
        <v>423</v>
      </c>
      <c r="C129" s="8" t="s">
        <v>649</v>
      </c>
      <c r="D129" s="35" t="s">
        <v>650</v>
      </c>
      <c r="E129" s="2" t="s">
        <v>588</v>
      </c>
      <c r="F129" s="2" t="s">
        <v>424</v>
      </c>
    </row>
    <row r="130" spans="1:6" ht="21.75" customHeight="1">
      <c r="A130" s="11" t="s">
        <v>587</v>
      </c>
      <c r="B130" s="36" t="s">
        <v>404</v>
      </c>
      <c r="C130" s="13" t="s">
        <v>649</v>
      </c>
      <c r="D130" s="37" t="s">
        <v>650</v>
      </c>
      <c r="E130" s="12" t="s">
        <v>588</v>
      </c>
      <c r="F130" s="12" t="s">
        <v>405</v>
      </c>
    </row>
    <row r="131" spans="1:6" ht="21.75" customHeight="1">
      <c r="A131" s="7" t="s">
        <v>587</v>
      </c>
      <c r="B131" s="34" t="s">
        <v>428</v>
      </c>
      <c r="C131" s="8" t="s">
        <v>649</v>
      </c>
      <c r="D131" s="39" t="s">
        <v>651</v>
      </c>
      <c r="E131" s="2" t="s">
        <v>588</v>
      </c>
      <c r="F131" s="2" t="s">
        <v>429</v>
      </c>
    </row>
    <row r="132" spans="1:6" ht="21.75" customHeight="1">
      <c r="A132" s="11" t="s">
        <v>587</v>
      </c>
      <c r="B132" s="36" t="s">
        <v>409</v>
      </c>
      <c r="C132" s="13" t="s">
        <v>649</v>
      </c>
      <c r="D132" s="38" t="s">
        <v>651</v>
      </c>
      <c r="E132" s="12" t="s">
        <v>588</v>
      </c>
      <c r="F132" s="12" t="s">
        <v>410</v>
      </c>
    </row>
    <row r="133" spans="1:6" ht="21.75" hidden="1" customHeight="1">
      <c r="A133" s="7" t="s">
        <v>590</v>
      </c>
      <c r="B133" s="34" t="s">
        <v>484</v>
      </c>
      <c r="C133" s="8" t="s">
        <v>649</v>
      </c>
      <c r="D133" s="35" t="s">
        <v>650</v>
      </c>
      <c r="E133" s="2" t="s">
        <v>591</v>
      </c>
      <c r="F133" s="2" t="s">
        <v>485</v>
      </c>
    </row>
    <row r="134" spans="1:6" ht="21.75" hidden="1" customHeight="1">
      <c r="A134" s="11" t="s">
        <v>590</v>
      </c>
      <c r="B134" s="36" t="s">
        <v>487</v>
      </c>
      <c r="C134" s="13" t="s">
        <v>649</v>
      </c>
      <c r="D134" s="37" t="s">
        <v>650</v>
      </c>
      <c r="E134" s="12" t="s">
        <v>591</v>
      </c>
      <c r="F134" s="12" t="s">
        <v>488</v>
      </c>
    </row>
    <row r="135" spans="1:6" ht="21.75" hidden="1" customHeight="1">
      <c r="A135" s="7" t="s">
        <v>593</v>
      </c>
      <c r="B135" s="34" t="s">
        <v>490</v>
      </c>
      <c r="C135" s="8" t="s">
        <v>649</v>
      </c>
      <c r="D135" s="35" t="s">
        <v>650</v>
      </c>
      <c r="E135" s="2" t="s">
        <v>594</v>
      </c>
      <c r="F135" s="2" t="s">
        <v>491</v>
      </c>
    </row>
    <row r="136" spans="1:6" ht="21.75" hidden="1" customHeight="1">
      <c r="A136" s="11" t="s">
        <v>593</v>
      </c>
      <c r="B136" s="36" t="s">
        <v>493</v>
      </c>
      <c r="C136" s="13" t="s">
        <v>649</v>
      </c>
      <c r="D136" s="37" t="s">
        <v>650</v>
      </c>
      <c r="E136" s="12" t="s">
        <v>594</v>
      </c>
      <c r="F136" s="12" t="s">
        <v>494</v>
      </c>
    </row>
    <row r="137" spans="1:6" ht="21.75" hidden="1" customHeight="1">
      <c r="A137" s="7" t="s">
        <v>593</v>
      </c>
      <c r="B137" s="34" t="s">
        <v>496</v>
      </c>
      <c r="C137" s="8" t="s">
        <v>649</v>
      </c>
      <c r="D137" s="39" t="s">
        <v>651</v>
      </c>
      <c r="E137" s="2" t="s">
        <v>594</v>
      </c>
      <c r="F137" s="2" t="s">
        <v>497</v>
      </c>
    </row>
    <row r="138" spans="1:6" ht="21.75" hidden="1" customHeight="1">
      <c r="A138" s="19" t="s">
        <v>593</v>
      </c>
      <c r="B138" s="40" t="s">
        <v>315</v>
      </c>
      <c r="C138" s="41" t="s">
        <v>652</v>
      </c>
      <c r="D138" s="42" t="s">
        <v>653</v>
      </c>
      <c r="E138" s="22" t="s">
        <v>594</v>
      </c>
      <c r="F138" s="22" t="s">
        <v>316</v>
      </c>
    </row>
    <row r="139" spans="1:6" ht="21.75" hidden="1" customHeight="1">
      <c r="A139" s="7" t="s">
        <v>596</v>
      </c>
      <c r="B139" s="34" t="s">
        <v>286</v>
      </c>
      <c r="C139" s="8" t="s">
        <v>649</v>
      </c>
      <c r="D139" s="35" t="s">
        <v>650</v>
      </c>
      <c r="E139" s="2" t="s">
        <v>597</v>
      </c>
      <c r="F139" s="2" t="s">
        <v>287</v>
      </c>
    </row>
    <row r="140" spans="1:6" ht="21.75" hidden="1" customHeight="1">
      <c r="A140" s="11" t="s">
        <v>596</v>
      </c>
      <c r="B140" s="36" t="s">
        <v>293</v>
      </c>
      <c r="C140" s="13" t="s">
        <v>649</v>
      </c>
      <c r="D140" s="38" t="s">
        <v>651</v>
      </c>
      <c r="E140" s="12" t="s">
        <v>597</v>
      </c>
      <c r="F140" s="12" t="s">
        <v>294</v>
      </c>
    </row>
    <row r="141" spans="1:6" ht="21.75" hidden="1" customHeight="1">
      <c r="A141" s="7" t="s">
        <v>596</v>
      </c>
      <c r="B141" s="34" t="s">
        <v>253</v>
      </c>
      <c r="C141" s="8" t="s">
        <v>649</v>
      </c>
      <c r="D141" s="39" t="s">
        <v>651</v>
      </c>
      <c r="E141" s="2" t="s">
        <v>597</v>
      </c>
      <c r="F141" s="2" t="s">
        <v>254</v>
      </c>
    </row>
    <row r="142" spans="1:6" ht="21.75" hidden="1" customHeight="1">
      <c r="A142" s="11" t="s">
        <v>599</v>
      </c>
      <c r="B142" s="36" t="s">
        <v>253</v>
      </c>
      <c r="C142" s="13" t="s">
        <v>649</v>
      </c>
      <c r="D142" s="37" t="s">
        <v>650</v>
      </c>
      <c r="E142" s="12" t="s">
        <v>600</v>
      </c>
      <c r="F142" s="12" t="s">
        <v>254</v>
      </c>
    </row>
    <row r="143" spans="1:6" ht="21.75" hidden="1" customHeight="1">
      <c r="A143" s="7" t="s">
        <v>599</v>
      </c>
      <c r="B143" s="34" t="s">
        <v>286</v>
      </c>
      <c r="C143" s="8" t="s">
        <v>649</v>
      </c>
      <c r="D143" s="39" t="s">
        <v>651</v>
      </c>
      <c r="E143" s="2" t="s">
        <v>600</v>
      </c>
      <c r="F143" s="2" t="s">
        <v>287</v>
      </c>
    </row>
    <row r="144" spans="1:6" ht="21.75" hidden="1" customHeight="1">
      <c r="A144" s="11" t="s">
        <v>602</v>
      </c>
      <c r="B144" s="36" t="s">
        <v>423</v>
      </c>
      <c r="C144" s="13" t="s">
        <v>649</v>
      </c>
      <c r="D144" s="37" t="s">
        <v>650</v>
      </c>
      <c r="E144" s="12" t="s">
        <v>603</v>
      </c>
      <c r="F144" s="12" t="s">
        <v>424</v>
      </c>
    </row>
    <row r="145" spans="1:6" ht="21.75" hidden="1" customHeight="1">
      <c r="A145" s="7" t="s">
        <v>602</v>
      </c>
      <c r="B145" s="34" t="s">
        <v>428</v>
      </c>
      <c r="C145" s="8" t="s">
        <v>649</v>
      </c>
      <c r="D145" s="35" t="s">
        <v>650</v>
      </c>
      <c r="E145" s="2" t="s">
        <v>603</v>
      </c>
      <c r="F145" s="2" t="s">
        <v>429</v>
      </c>
    </row>
    <row r="146" spans="1:6" ht="21.75" hidden="1" customHeight="1">
      <c r="A146" s="11" t="s">
        <v>602</v>
      </c>
      <c r="B146" s="36" t="s">
        <v>404</v>
      </c>
      <c r="C146" s="13" t="s">
        <v>649</v>
      </c>
      <c r="D146" s="37" t="s">
        <v>650</v>
      </c>
      <c r="E146" s="12" t="s">
        <v>603</v>
      </c>
      <c r="F146" s="12" t="s">
        <v>405</v>
      </c>
    </row>
    <row r="147" spans="1:6" ht="21.75" hidden="1" customHeight="1">
      <c r="A147" s="7" t="s">
        <v>605</v>
      </c>
      <c r="B147" s="34" t="s">
        <v>420</v>
      </c>
      <c r="C147" s="8" t="s">
        <v>649</v>
      </c>
      <c r="D147" s="35" t="s">
        <v>650</v>
      </c>
      <c r="E147" s="2" t="s">
        <v>606</v>
      </c>
      <c r="F147" s="2" t="s">
        <v>421</v>
      </c>
    </row>
    <row r="148" spans="1:6" ht="21.75" hidden="1" customHeight="1">
      <c r="A148" s="11" t="s">
        <v>605</v>
      </c>
      <c r="B148" s="36" t="s">
        <v>414</v>
      </c>
      <c r="C148" s="13" t="s">
        <v>649</v>
      </c>
      <c r="D148" s="37" t="s">
        <v>650</v>
      </c>
      <c r="E148" s="12" t="s">
        <v>606</v>
      </c>
      <c r="F148" s="12" t="s">
        <v>415</v>
      </c>
    </row>
    <row r="149" spans="1:6" ht="21.75" hidden="1" customHeight="1">
      <c r="A149" s="7" t="s">
        <v>605</v>
      </c>
      <c r="B149" s="34" t="s">
        <v>404</v>
      </c>
      <c r="C149" s="8" t="s">
        <v>649</v>
      </c>
      <c r="D149" s="35" t="s">
        <v>650</v>
      </c>
      <c r="E149" s="2" t="s">
        <v>606</v>
      </c>
      <c r="F149" s="2" t="s">
        <v>405</v>
      </c>
    </row>
    <row r="150" spans="1:6" ht="21.75" hidden="1" customHeight="1">
      <c r="A150" s="11" t="s">
        <v>605</v>
      </c>
      <c r="B150" s="36" t="s">
        <v>409</v>
      </c>
      <c r="C150" s="13" t="s">
        <v>649</v>
      </c>
      <c r="D150" s="38" t="s">
        <v>651</v>
      </c>
      <c r="E150" s="12" t="s">
        <v>606</v>
      </c>
      <c r="F150" s="12" t="s">
        <v>410</v>
      </c>
    </row>
    <row r="151" spans="1:6" ht="21.75" hidden="1" customHeight="1">
      <c r="A151" s="19" t="s">
        <v>605</v>
      </c>
      <c r="B151" s="40" t="s">
        <v>318</v>
      </c>
      <c r="C151" s="41" t="s">
        <v>652</v>
      </c>
      <c r="D151" s="42" t="s">
        <v>653</v>
      </c>
      <c r="E151" s="22" t="s">
        <v>606</v>
      </c>
      <c r="F151" s="22" t="s">
        <v>319</v>
      </c>
    </row>
    <row r="152" spans="1:6" ht="21.75" hidden="1" customHeight="1">
      <c r="A152" s="11" t="s">
        <v>608</v>
      </c>
      <c r="B152" s="36" t="s">
        <v>414</v>
      </c>
      <c r="C152" s="13" t="s">
        <v>649</v>
      </c>
      <c r="D152" s="37" t="s">
        <v>650</v>
      </c>
      <c r="E152" s="12" t="s">
        <v>609</v>
      </c>
      <c r="F152" s="12" t="s">
        <v>415</v>
      </c>
    </row>
    <row r="153" spans="1:6" ht="21.75" hidden="1" customHeight="1">
      <c r="A153" s="7" t="s">
        <v>608</v>
      </c>
      <c r="B153" s="34" t="s">
        <v>191</v>
      </c>
      <c r="C153" s="8" t="s">
        <v>649</v>
      </c>
      <c r="D153" s="39" t="s">
        <v>651</v>
      </c>
      <c r="E153" s="2" t="s">
        <v>609</v>
      </c>
      <c r="F153" s="2" t="s">
        <v>192</v>
      </c>
    </row>
    <row r="154" spans="1:6" ht="21.75" hidden="1" customHeight="1">
      <c r="A154" s="11" t="s">
        <v>611</v>
      </c>
      <c r="B154" s="36" t="s">
        <v>242</v>
      </c>
      <c r="C154" s="13" t="s">
        <v>649</v>
      </c>
      <c r="D154" s="37" t="s">
        <v>650</v>
      </c>
      <c r="E154" s="12" t="s">
        <v>612</v>
      </c>
      <c r="F154" s="12" t="s">
        <v>243</v>
      </c>
    </row>
    <row r="155" spans="1:6" ht="21.75" hidden="1" customHeight="1">
      <c r="A155" s="7" t="s">
        <v>611</v>
      </c>
      <c r="B155" s="34" t="s">
        <v>261</v>
      </c>
      <c r="C155" s="8" t="s">
        <v>649</v>
      </c>
      <c r="D155" s="39" t="s">
        <v>651</v>
      </c>
      <c r="E155" s="2" t="s">
        <v>612</v>
      </c>
      <c r="F155" s="2" t="s">
        <v>262</v>
      </c>
    </row>
    <row r="156" spans="1:6" ht="21.75" hidden="1" customHeight="1">
      <c r="A156" s="11" t="s">
        <v>611</v>
      </c>
      <c r="B156" s="36" t="s">
        <v>264</v>
      </c>
      <c r="C156" s="13" t="s">
        <v>649</v>
      </c>
      <c r="D156" s="38" t="s">
        <v>651</v>
      </c>
      <c r="E156" s="12" t="s">
        <v>612</v>
      </c>
      <c r="F156" s="12" t="s">
        <v>265</v>
      </c>
    </row>
    <row r="157" spans="1:6" ht="21.75" hidden="1" customHeight="1">
      <c r="A157" s="7" t="s">
        <v>611</v>
      </c>
      <c r="B157" s="34" t="s">
        <v>456</v>
      </c>
      <c r="C157" s="8" t="s">
        <v>649</v>
      </c>
      <c r="D157" s="39" t="s">
        <v>651</v>
      </c>
      <c r="E157" s="2" t="s">
        <v>612</v>
      </c>
      <c r="F157" s="2" t="s">
        <v>457</v>
      </c>
    </row>
    <row r="158" spans="1:6" ht="21.75" hidden="1" customHeight="1">
      <c r="A158" s="19" t="s">
        <v>611</v>
      </c>
      <c r="B158" s="40" t="s">
        <v>318</v>
      </c>
      <c r="C158" s="41" t="s">
        <v>652</v>
      </c>
      <c r="D158" s="42" t="s">
        <v>653</v>
      </c>
      <c r="E158" s="22" t="s">
        <v>612</v>
      </c>
      <c r="F158" s="22" t="s">
        <v>319</v>
      </c>
    </row>
    <row r="159" spans="1:6" ht="21.75" hidden="1" customHeight="1">
      <c r="A159" s="7" t="s">
        <v>614</v>
      </c>
      <c r="B159" s="34" t="s">
        <v>440</v>
      </c>
      <c r="C159" s="8" t="s">
        <v>649</v>
      </c>
      <c r="D159" s="35" t="s">
        <v>650</v>
      </c>
      <c r="E159" s="2" t="s">
        <v>615</v>
      </c>
      <c r="F159" s="2" t="s">
        <v>441</v>
      </c>
    </row>
    <row r="160" spans="1:6" ht="21.75" hidden="1" customHeight="1">
      <c r="A160" s="11" t="s">
        <v>614</v>
      </c>
      <c r="B160" s="36" t="s">
        <v>443</v>
      </c>
      <c r="C160" s="13" t="s">
        <v>649</v>
      </c>
      <c r="D160" s="38" t="s">
        <v>651</v>
      </c>
      <c r="E160" s="12" t="s">
        <v>615</v>
      </c>
      <c r="F160" s="12" t="s">
        <v>444</v>
      </c>
    </row>
    <row r="161" spans="1:6" ht="21.75" hidden="1" customHeight="1">
      <c r="A161" s="7" t="s">
        <v>614</v>
      </c>
      <c r="B161" s="34" t="s">
        <v>446</v>
      </c>
      <c r="C161" s="8" t="s">
        <v>649</v>
      </c>
      <c r="D161" s="39" t="s">
        <v>651</v>
      </c>
      <c r="E161" s="2" t="s">
        <v>615</v>
      </c>
      <c r="F161" s="2" t="s">
        <v>447</v>
      </c>
    </row>
    <row r="162" spans="1:6" ht="21.75" hidden="1" customHeight="1">
      <c r="A162" s="11" t="s">
        <v>617</v>
      </c>
      <c r="B162" s="36" t="s">
        <v>456</v>
      </c>
      <c r="C162" s="13" t="s">
        <v>649</v>
      </c>
      <c r="D162" s="37" t="s">
        <v>650</v>
      </c>
      <c r="E162" s="12" t="s">
        <v>618</v>
      </c>
      <c r="F162" s="12" t="s">
        <v>457</v>
      </c>
    </row>
    <row r="163" spans="1:6" ht="21.75" hidden="1" customHeight="1">
      <c r="A163" s="7" t="s">
        <v>617</v>
      </c>
      <c r="B163" s="34" t="s">
        <v>268</v>
      </c>
      <c r="C163" s="8" t="s">
        <v>649</v>
      </c>
      <c r="D163" s="39" t="s">
        <v>651</v>
      </c>
      <c r="E163" s="2" t="s">
        <v>618</v>
      </c>
      <c r="F163" s="2" t="s">
        <v>269</v>
      </c>
    </row>
    <row r="164" spans="1:6" ht="21.75" hidden="1" customHeight="1">
      <c r="A164" s="19" t="s">
        <v>617</v>
      </c>
      <c r="B164" s="40" t="s">
        <v>318</v>
      </c>
      <c r="C164" s="41" t="s">
        <v>652</v>
      </c>
      <c r="D164" s="42" t="s">
        <v>653</v>
      </c>
      <c r="E164" s="22" t="s">
        <v>618</v>
      </c>
      <c r="F164" s="22" t="s">
        <v>319</v>
      </c>
    </row>
    <row r="165" spans="1:6" ht="21.75" hidden="1" customHeight="1">
      <c r="A165" s="7" t="s">
        <v>620</v>
      </c>
      <c r="B165" s="34" t="s">
        <v>450</v>
      </c>
      <c r="C165" s="8" t="s">
        <v>649</v>
      </c>
      <c r="D165" s="35" t="s">
        <v>650</v>
      </c>
      <c r="E165" s="2" t="s">
        <v>621</v>
      </c>
      <c r="F165" s="2" t="s">
        <v>451</v>
      </c>
    </row>
    <row r="166" spans="1:6" ht="21.75" hidden="1" customHeight="1">
      <c r="A166" s="19" t="s">
        <v>620</v>
      </c>
      <c r="B166" s="40" t="s">
        <v>318</v>
      </c>
      <c r="C166" s="41" t="s">
        <v>652</v>
      </c>
      <c r="D166" s="42" t="s">
        <v>653</v>
      </c>
      <c r="E166" s="22" t="s">
        <v>621</v>
      </c>
      <c r="F166" s="22" t="s">
        <v>319</v>
      </c>
    </row>
    <row r="167" spans="1:6" ht="21.75" hidden="1" customHeight="1">
      <c r="A167" s="7" t="s">
        <v>623</v>
      </c>
      <c r="B167" s="34" t="s">
        <v>191</v>
      </c>
      <c r="C167" s="8" t="s">
        <v>649</v>
      </c>
      <c r="D167" s="35" t="s">
        <v>650</v>
      </c>
      <c r="E167" s="2" t="s">
        <v>624</v>
      </c>
      <c r="F167" s="2" t="s">
        <v>192</v>
      </c>
    </row>
    <row r="168" spans="1:6" ht="21.75" hidden="1" customHeight="1">
      <c r="A168" s="11" t="s">
        <v>623</v>
      </c>
      <c r="B168" s="36" t="s">
        <v>197</v>
      </c>
      <c r="C168" s="13" t="s">
        <v>649</v>
      </c>
      <c r="D168" s="38" t="s">
        <v>651</v>
      </c>
      <c r="E168" s="12" t="s">
        <v>624</v>
      </c>
      <c r="F168" s="12" t="s">
        <v>198</v>
      </c>
    </row>
    <row r="169" spans="1:6" ht="21.75" hidden="1" customHeight="1">
      <c r="A169" s="7" t="s">
        <v>623</v>
      </c>
      <c r="B169" s="34" t="s">
        <v>401</v>
      </c>
      <c r="C169" s="8" t="s">
        <v>649</v>
      </c>
      <c r="D169" s="39" t="s">
        <v>651</v>
      </c>
      <c r="E169" s="2" t="s">
        <v>624</v>
      </c>
      <c r="F169" s="2" t="s">
        <v>402</v>
      </c>
    </row>
    <row r="170" spans="1:6" ht="21.75" hidden="1" customHeight="1">
      <c r="A170" s="11" t="s">
        <v>626</v>
      </c>
      <c r="B170" s="36" t="s">
        <v>191</v>
      </c>
      <c r="C170" s="13" t="s">
        <v>649</v>
      </c>
      <c r="D170" s="37" t="s">
        <v>650</v>
      </c>
      <c r="E170" s="12" t="s">
        <v>627</v>
      </c>
      <c r="F170" s="12" t="s">
        <v>192</v>
      </c>
    </row>
    <row r="171" spans="1:6" ht="21.75" hidden="1" customHeight="1">
      <c r="A171" s="7" t="s">
        <v>626</v>
      </c>
      <c r="B171" s="34" t="s">
        <v>166</v>
      </c>
      <c r="C171" s="8" t="s">
        <v>649</v>
      </c>
      <c r="D171" s="39" t="s">
        <v>651</v>
      </c>
      <c r="E171" s="2" t="s">
        <v>627</v>
      </c>
      <c r="F171" s="2" t="s">
        <v>167</v>
      </c>
    </row>
    <row r="172" spans="1:6" ht="21.75" hidden="1" customHeight="1">
      <c r="A172" s="11" t="s">
        <v>629</v>
      </c>
      <c r="B172" s="36" t="s">
        <v>163</v>
      </c>
      <c r="C172" s="13" t="s">
        <v>649</v>
      </c>
      <c r="D172" s="37" t="s">
        <v>650</v>
      </c>
      <c r="E172" s="12" t="s">
        <v>630</v>
      </c>
      <c r="F172" s="12" t="s">
        <v>164</v>
      </c>
    </row>
    <row r="173" spans="1:6" ht="21.75" hidden="1" customHeight="1">
      <c r="A173" s="7" t="s">
        <v>629</v>
      </c>
      <c r="B173" s="34" t="s">
        <v>209</v>
      </c>
      <c r="C173" s="8" t="s">
        <v>649</v>
      </c>
      <c r="D173" s="35" t="s">
        <v>650</v>
      </c>
      <c r="E173" s="2" t="s">
        <v>630</v>
      </c>
      <c r="F173" s="2" t="s">
        <v>210</v>
      </c>
    </row>
    <row r="174" spans="1:6" ht="21.75" hidden="1" customHeight="1">
      <c r="A174" s="11" t="s">
        <v>629</v>
      </c>
      <c r="B174" s="36" t="s">
        <v>217</v>
      </c>
      <c r="C174" s="13" t="s">
        <v>649</v>
      </c>
      <c r="D174" s="38" t="s">
        <v>651</v>
      </c>
      <c r="E174" s="12" t="s">
        <v>630</v>
      </c>
      <c r="F174" s="12" t="s">
        <v>218</v>
      </c>
    </row>
    <row r="175" spans="1:6" ht="21.75" hidden="1" customHeight="1">
      <c r="A175" s="19" t="s">
        <v>629</v>
      </c>
      <c r="B175" s="40" t="s">
        <v>318</v>
      </c>
      <c r="C175" s="41" t="s">
        <v>652</v>
      </c>
      <c r="D175" s="42" t="s">
        <v>653</v>
      </c>
      <c r="E175" s="22" t="s">
        <v>630</v>
      </c>
      <c r="F175" s="22" t="s">
        <v>319</v>
      </c>
    </row>
    <row r="176" spans="1:6" ht="21.75" hidden="1" customHeight="1">
      <c r="A176" s="11" t="s">
        <v>632</v>
      </c>
      <c r="B176" s="36" t="s">
        <v>401</v>
      </c>
      <c r="C176" s="13" t="s">
        <v>649</v>
      </c>
      <c r="D176" s="37" t="s">
        <v>650</v>
      </c>
      <c r="E176" s="12" t="s">
        <v>633</v>
      </c>
      <c r="F176" s="12" t="s">
        <v>402</v>
      </c>
    </row>
    <row r="177" spans="1:6" ht="21.75" hidden="1" customHeight="1">
      <c r="A177" s="7" t="s">
        <v>632</v>
      </c>
      <c r="B177" s="34" t="s">
        <v>197</v>
      </c>
      <c r="C177" s="8" t="s">
        <v>649</v>
      </c>
      <c r="D177" s="39" t="s">
        <v>651</v>
      </c>
      <c r="E177" s="2" t="s">
        <v>633</v>
      </c>
      <c r="F177" s="2" t="s">
        <v>198</v>
      </c>
    </row>
    <row r="178" spans="1:6" ht="21.75" hidden="1" customHeight="1">
      <c r="A178" s="19" t="s">
        <v>632</v>
      </c>
      <c r="B178" s="40" t="s">
        <v>315</v>
      </c>
      <c r="C178" s="41" t="s">
        <v>652</v>
      </c>
      <c r="D178" s="42" t="s">
        <v>653</v>
      </c>
      <c r="E178" s="22" t="s">
        <v>633</v>
      </c>
      <c r="F178" s="22" t="s">
        <v>316</v>
      </c>
    </row>
    <row r="179" spans="1:6" ht="21.75" hidden="1" customHeight="1">
      <c r="A179" s="7" t="s">
        <v>635</v>
      </c>
      <c r="B179" s="34" t="s">
        <v>459</v>
      </c>
      <c r="C179" s="8" t="s">
        <v>649</v>
      </c>
      <c r="D179" s="35" t="s">
        <v>650</v>
      </c>
      <c r="E179" s="2" t="s">
        <v>636</v>
      </c>
      <c r="F179" s="2" t="s">
        <v>460</v>
      </c>
    </row>
    <row r="180" spans="1:6" ht="21.75" hidden="1" customHeight="1">
      <c r="A180" s="11" t="s">
        <v>635</v>
      </c>
      <c r="B180" s="36" t="s">
        <v>149</v>
      </c>
      <c r="C180" s="13" t="s">
        <v>649</v>
      </c>
      <c r="D180" s="38" t="s">
        <v>651</v>
      </c>
      <c r="E180" s="12" t="s">
        <v>636</v>
      </c>
      <c r="F180" s="12" t="s">
        <v>150</v>
      </c>
    </row>
    <row r="181" spans="1:6" ht="21.75" hidden="1" customHeight="1">
      <c r="A181" s="7" t="s">
        <v>635</v>
      </c>
      <c r="B181" s="34" t="s">
        <v>159</v>
      </c>
      <c r="C181" s="8" t="s">
        <v>649</v>
      </c>
      <c r="D181" s="39" t="s">
        <v>651</v>
      </c>
      <c r="E181" s="2" t="s">
        <v>636</v>
      </c>
      <c r="F181" s="2" t="s">
        <v>160</v>
      </c>
    </row>
    <row r="182" spans="1:6" ht="21.75" hidden="1" customHeight="1">
      <c r="A182" s="11" t="s">
        <v>638</v>
      </c>
      <c r="B182" s="36" t="s">
        <v>462</v>
      </c>
      <c r="C182" s="13" t="s">
        <v>649</v>
      </c>
      <c r="D182" s="37" t="s">
        <v>650</v>
      </c>
      <c r="E182" s="12" t="s">
        <v>639</v>
      </c>
      <c r="F182" s="12" t="s">
        <v>463</v>
      </c>
    </row>
    <row r="183" spans="1:6" ht="21.75" hidden="1" customHeight="1">
      <c r="A183" s="7" t="s">
        <v>638</v>
      </c>
      <c r="B183" s="34" t="s">
        <v>468</v>
      </c>
      <c r="C183" s="8" t="s">
        <v>649</v>
      </c>
      <c r="D183" s="39" t="s">
        <v>651</v>
      </c>
      <c r="E183" s="2" t="s">
        <v>639</v>
      </c>
      <c r="F183" s="2" t="s">
        <v>469</v>
      </c>
    </row>
    <row r="184" spans="1:6" ht="21.75" hidden="1" customHeight="1">
      <c r="A184" s="11" t="s">
        <v>641</v>
      </c>
      <c r="B184" s="36" t="s">
        <v>212</v>
      </c>
      <c r="C184" s="13" t="s">
        <v>649</v>
      </c>
      <c r="D184" s="37" t="s">
        <v>650</v>
      </c>
      <c r="E184" s="12" t="s">
        <v>642</v>
      </c>
      <c r="F184" s="12" t="s">
        <v>213</v>
      </c>
    </row>
    <row r="185" spans="1:6" ht="21.75" hidden="1" customHeight="1">
      <c r="A185" s="7" t="s">
        <v>641</v>
      </c>
      <c r="B185" s="34" t="s">
        <v>177</v>
      </c>
      <c r="C185" s="8" t="s">
        <v>649</v>
      </c>
      <c r="D185" s="39" t="s">
        <v>651</v>
      </c>
      <c r="E185" s="2" t="s">
        <v>642</v>
      </c>
      <c r="F185" s="2" t="s">
        <v>178</v>
      </c>
    </row>
    <row r="186" spans="1:6" ht="21.75" hidden="1" customHeight="1">
      <c r="A186" s="11" t="s">
        <v>641</v>
      </c>
      <c r="B186" s="36" t="s">
        <v>174</v>
      </c>
      <c r="C186" s="13" t="s">
        <v>649</v>
      </c>
      <c r="D186" s="38" t="s">
        <v>651</v>
      </c>
      <c r="E186" s="12" t="s">
        <v>642</v>
      </c>
      <c r="F186" s="16" t="s">
        <v>175</v>
      </c>
    </row>
    <row r="187" spans="1:6" ht="21.75" hidden="1" customHeight="1">
      <c r="A187" s="7" t="s">
        <v>644</v>
      </c>
      <c r="B187" s="34" t="s">
        <v>248</v>
      </c>
      <c r="C187" s="8" t="s">
        <v>649</v>
      </c>
      <c r="D187" s="35" t="s">
        <v>650</v>
      </c>
      <c r="E187" s="2" t="s">
        <v>645</v>
      </c>
      <c r="F187" s="2" t="s">
        <v>249</v>
      </c>
    </row>
    <row r="188" spans="1:6" ht="21.75" hidden="1" customHeight="1">
      <c r="A188" s="11" t="s">
        <v>644</v>
      </c>
      <c r="B188" s="36" t="s">
        <v>465</v>
      </c>
      <c r="C188" s="13" t="s">
        <v>649</v>
      </c>
      <c r="D188" s="38" t="s">
        <v>651</v>
      </c>
      <c r="E188" s="12" t="s">
        <v>645</v>
      </c>
      <c r="F188" s="12" t="s">
        <v>466</v>
      </c>
    </row>
    <row r="189" spans="1:6" ht="21.75" customHeight="1"/>
    <row r="190" spans="1:6" ht="21.75" customHeight="1"/>
    <row r="191" spans="1:6" ht="21.75" customHeight="1"/>
    <row r="192" spans="1:6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</sheetData>
  <autoFilter ref="A1:F188" xr:uid="{00000000-0009-0000-0000-000003000000}">
    <filterColumn colId="0">
      <filters>
        <filter val="BANK-01"/>
        <filter val="BANK-02"/>
        <filter val="BANK-04"/>
        <filter val="BANK-05"/>
        <filter val="BANK-07"/>
        <filter val="MFG-01"/>
        <filter val="MFG-02"/>
        <filter val="MFG-03"/>
        <filter val="MFG-04"/>
      </filters>
    </filterColumn>
  </autoFilter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1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16" customWidth="1"/>
    <col min="3" max="3" width="90" customWidth="1"/>
  </cols>
  <sheetData>
    <row r="2" spans="2:3" ht="21.5" customHeight="1">
      <c r="B2" s="44" t="s">
        <v>654</v>
      </c>
    </row>
    <row r="3" spans="2:3" ht="65" customHeight="1">
      <c r="B3" s="45" t="s">
        <v>655</v>
      </c>
    </row>
    <row r="5" spans="2:3" ht="43.5" customHeight="1">
      <c r="B5" s="1" t="s">
        <v>99</v>
      </c>
      <c r="C5" s="2" t="s">
        <v>656</v>
      </c>
    </row>
    <row r="6" spans="2:3" ht="43.5" customHeight="1">
      <c r="B6" s="1" t="s">
        <v>100</v>
      </c>
      <c r="C6" s="2" t="s">
        <v>657</v>
      </c>
    </row>
    <row r="7" spans="2:3" ht="43.5" customHeight="1">
      <c r="B7" s="1" t="s">
        <v>101</v>
      </c>
      <c r="C7" s="2" t="s">
        <v>658</v>
      </c>
    </row>
    <row r="8" spans="2:3" ht="43.5" customHeight="1">
      <c r="B8" s="3" t="s">
        <v>102</v>
      </c>
      <c r="C8" s="2" t="s">
        <v>659</v>
      </c>
    </row>
    <row r="9" spans="2:3" ht="43.5" customHeight="1">
      <c r="B9" s="1" t="s">
        <v>103</v>
      </c>
      <c r="C9" s="2" t="s">
        <v>660</v>
      </c>
    </row>
    <row r="11" spans="2:3" ht="43.5" customHeight="1">
      <c r="B11" s="46" t="s">
        <v>661</v>
      </c>
      <c r="C11" s="2" t="s">
        <v>662</v>
      </c>
    </row>
  </sheetData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baseColWidth="10" defaultColWidth="8.83203125" defaultRowHeight="15"/>
  <cols>
    <col min="1" max="1" width="10" customWidth="1"/>
    <col min="2" max="2" width="20" customWidth="1"/>
    <col min="3" max="3" width="46" customWidth="1"/>
    <col min="4" max="4" width="24" customWidth="1"/>
    <col min="5" max="5" width="10" customWidth="1"/>
    <col min="6" max="6" width="18" customWidth="1"/>
    <col min="7" max="7" width="22" customWidth="1"/>
  </cols>
  <sheetData>
    <row r="1" spans="1:7" ht="16">
      <c r="A1" s="51" t="s">
        <v>663</v>
      </c>
      <c r="B1" s="51" t="s">
        <v>664</v>
      </c>
      <c r="C1" s="51" t="s">
        <v>665</v>
      </c>
      <c r="D1" s="51" t="s">
        <v>666</v>
      </c>
      <c r="E1" s="51" t="s">
        <v>667</v>
      </c>
      <c r="F1" s="51" t="s">
        <v>668</v>
      </c>
      <c r="G1" s="51" t="s">
        <v>669</v>
      </c>
    </row>
    <row r="2" spans="1:7" ht="32">
      <c r="A2" s="52" t="s">
        <v>381</v>
      </c>
      <c r="B2" s="52" t="s">
        <v>670</v>
      </c>
      <c r="C2" s="52" t="s">
        <v>671</v>
      </c>
      <c r="D2" s="52" t="s">
        <v>672</v>
      </c>
      <c r="E2" s="52" t="s">
        <v>673</v>
      </c>
      <c r="F2" s="52" t="s">
        <v>670</v>
      </c>
      <c r="G2" s="52" t="s">
        <v>674</v>
      </c>
    </row>
    <row r="3" spans="1:7" ht="32">
      <c r="A3" s="52" t="s">
        <v>419</v>
      </c>
      <c r="B3" s="52" t="s">
        <v>675</v>
      </c>
      <c r="C3" s="52" t="s">
        <v>676</v>
      </c>
      <c r="D3" s="52" t="s">
        <v>672</v>
      </c>
      <c r="E3" s="52" t="s">
        <v>677</v>
      </c>
      <c r="F3" s="52" t="s">
        <v>678</v>
      </c>
      <c r="G3" s="52" t="s">
        <v>679</v>
      </c>
    </row>
    <row r="4" spans="1:7" ht="32">
      <c r="A4" s="52" t="s">
        <v>680</v>
      </c>
      <c r="B4" s="52" t="s">
        <v>681</v>
      </c>
      <c r="C4" s="52" t="s">
        <v>682</v>
      </c>
      <c r="D4" s="52" t="s">
        <v>683</v>
      </c>
      <c r="E4" s="52" t="s">
        <v>677</v>
      </c>
      <c r="F4" s="52" t="s">
        <v>684</v>
      </c>
      <c r="G4" s="52" t="s">
        <v>679</v>
      </c>
    </row>
    <row r="5" spans="1:7" ht="32">
      <c r="A5" s="52" t="s">
        <v>208</v>
      </c>
      <c r="B5" s="52" t="s">
        <v>685</v>
      </c>
      <c r="C5" s="52" t="s">
        <v>686</v>
      </c>
      <c r="D5" s="52" t="s">
        <v>687</v>
      </c>
      <c r="E5" s="52" t="s">
        <v>673</v>
      </c>
      <c r="F5" s="52" t="s">
        <v>688</v>
      </c>
      <c r="G5" s="52" t="s">
        <v>679</v>
      </c>
    </row>
    <row r="6" spans="1:7" ht="16">
      <c r="A6" s="52" t="s">
        <v>689</v>
      </c>
      <c r="B6" s="52" t="s">
        <v>690</v>
      </c>
      <c r="C6" s="52" t="s">
        <v>691</v>
      </c>
      <c r="D6" s="52" t="s">
        <v>692</v>
      </c>
      <c r="E6" s="52" t="s">
        <v>673</v>
      </c>
      <c r="F6" s="52" t="s">
        <v>693</v>
      </c>
      <c r="G6" s="52" t="s">
        <v>679</v>
      </c>
    </row>
    <row r="7" spans="1:7" ht="16">
      <c r="A7" s="52" t="s">
        <v>694</v>
      </c>
      <c r="B7" s="52" t="s">
        <v>695</v>
      </c>
      <c r="C7" s="52" t="s">
        <v>696</v>
      </c>
      <c r="D7" s="52" t="s">
        <v>697</v>
      </c>
      <c r="E7" s="52" t="s">
        <v>673</v>
      </c>
      <c r="F7" s="52" t="s">
        <v>698</v>
      </c>
      <c r="G7" s="52" t="s">
        <v>679</v>
      </c>
    </row>
    <row r="8" spans="1:7" ht="32">
      <c r="A8" s="52" t="s">
        <v>699</v>
      </c>
      <c r="B8" s="52" t="s">
        <v>700</v>
      </c>
      <c r="C8" s="52" t="s">
        <v>701</v>
      </c>
      <c r="D8" s="52" t="s">
        <v>702</v>
      </c>
      <c r="E8" s="52" t="s">
        <v>703</v>
      </c>
      <c r="F8" s="52" t="s">
        <v>704</v>
      </c>
      <c r="G8" s="52" t="s">
        <v>705</v>
      </c>
    </row>
    <row r="9" spans="1:7" ht="32">
      <c r="A9" s="52" t="s">
        <v>706</v>
      </c>
      <c r="B9" s="52" t="s">
        <v>707</v>
      </c>
      <c r="C9" s="52" t="s">
        <v>708</v>
      </c>
      <c r="D9" s="52" t="s">
        <v>709</v>
      </c>
      <c r="E9" s="52" t="s">
        <v>673</v>
      </c>
      <c r="F9" s="52" t="s">
        <v>710</v>
      </c>
      <c r="G9" s="52" t="s">
        <v>679</v>
      </c>
    </row>
    <row r="10" spans="1:7" ht="32">
      <c r="A10" s="52" t="s">
        <v>711</v>
      </c>
      <c r="B10" s="52" t="s">
        <v>712</v>
      </c>
      <c r="C10" s="52" t="s">
        <v>713</v>
      </c>
      <c r="D10" s="52" t="s">
        <v>683</v>
      </c>
      <c r="E10" s="52" t="s">
        <v>677</v>
      </c>
      <c r="F10" s="52" t="s">
        <v>714</v>
      </c>
      <c r="G10" s="52" t="s">
        <v>679</v>
      </c>
    </row>
    <row r="11" spans="1:7" ht="16">
      <c r="A11" s="52" t="s">
        <v>715</v>
      </c>
      <c r="B11" s="52" t="s">
        <v>716</v>
      </c>
      <c r="C11" s="52" t="s">
        <v>717</v>
      </c>
      <c r="D11" s="52" t="s">
        <v>718</v>
      </c>
      <c r="E11" s="52" t="s">
        <v>673</v>
      </c>
      <c r="F11" s="52" t="s">
        <v>719</v>
      </c>
      <c r="G11" s="52" t="s">
        <v>720</v>
      </c>
    </row>
    <row r="12" spans="1:7" ht="32">
      <c r="A12" s="52" t="s">
        <v>721</v>
      </c>
      <c r="B12" s="52" t="s">
        <v>722</v>
      </c>
      <c r="C12" s="52" t="s">
        <v>723</v>
      </c>
      <c r="D12" s="52" t="s">
        <v>672</v>
      </c>
      <c r="E12" s="52" t="s">
        <v>677</v>
      </c>
      <c r="F12" s="52" t="s">
        <v>724</v>
      </c>
      <c r="G12" s="52" t="s">
        <v>725</v>
      </c>
    </row>
    <row r="13" spans="1:7" ht="32">
      <c r="A13" s="52" t="s">
        <v>726</v>
      </c>
      <c r="B13" s="52" t="s">
        <v>727</v>
      </c>
      <c r="C13" s="52" t="s">
        <v>728</v>
      </c>
      <c r="D13" s="52" t="s">
        <v>729</v>
      </c>
      <c r="E13" s="52" t="s">
        <v>673</v>
      </c>
      <c r="F13" s="52" t="s">
        <v>730</v>
      </c>
      <c r="G13" s="52" t="s">
        <v>679</v>
      </c>
    </row>
    <row r="14" spans="1:7" ht="32">
      <c r="A14" s="52" t="s">
        <v>731</v>
      </c>
      <c r="B14" s="52" t="s">
        <v>732</v>
      </c>
      <c r="C14" s="52" t="s">
        <v>733</v>
      </c>
      <c r="D14" s="52" t="s">
        <v>734</v>
      </c>
      <c r="E14" s="52" t="s">
        <v>677</v>
      </c>
      <c r="F14" s="52" t="s">
        <v>735</v>
      </c>
      <c r="G14" s="52" t="s">
        <v>679</v>
      </c>
    </row>
    <row r="15" spans="1:7" ht="32">
      <c r="A15" s="52" t="s">
        <v>736</v>
      </c>
      <c r="B15" s="52" t="s">
        <v>737</v>
      </c>
      <c r="C15" s="52" t="s">
        <v>738</v>
      </c>
      <c r="D15" s="52" t="s">
        <v>672</v>
      </c>
      <c r="E15" s="52" t="s">
        <v>677</v>
      </c>
      <c r="F15" s="52" t="s">
        <v>739</v>
      </c>
      <c r="G15" s="52" t="s">
        <v>679</v>
      </c>
    </row>
    <row r="16" spans="1:7" ht="32">
      <c r="A16" s="52" t="s">
        <v>740</v>
      </c>
      <c r="B16" s="52" t="s">
        <v>741</v>
      </c>
      <c r="C16" s="52" t="s">
        <v>742</v>
      </c>
      <c r="D16" s="52" t="s">
        <v>743</v>
      </c>
      <c r="E16" s="52" t="s">
        <v>703</v>
      </c>
      <c r="F16" s="52" t="s">
        <v>744</v>
      </c>
      <c r="G16" s="52" t="s">
        <v>745</v>
      </c>
    </row>
  </sheetData>
  <phoneticPr fontId="2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7"/>
  <sheetViews>
    <sheetView workbookViewId="0"/>
  </sheetViews>
  <sheetFormatPr baseColWidth="10" defaultColWidth="8.83203125" defaultRowHeight="15"/>
  <cols>
    <col min="1" max="1" width="12" customWidth="1"/>
    <col min="2" max="2" width="34" customWidth="1"/>
    <col min="3" max="3" width="16" customWidth="1"/>
    <col min="4" max="4" width="22" customWidth="1"/>
    <col min="5" max="5" width="30" customWidth="1"/>
    <col min="6" max="6" width="40" customWidth="1"/>
  </cols>
  <sheetData>
    <row r="1" spans="1:6" ht="16">
      <c r="A1" s="51" t="s">
        <v>746</v>
      </c>
      <c r="B1" s="51" t="s">
        <v>747</v>
      </c>
      <c r="C1" s="51" t="s">
        <v>748</v>
      </c>
      <c r="D1" s="51" t="s">
        <v>749</v>
      </c>
      <c r="E1" s="51" t="s">
        <v>750</v>
      </c>
      <c r="F1" s="51" t="s">
        <v>106</v>
      </c>
    </row>
    <row r="2" spans="1:6" ht="16">
      <c r="A2" s="52" t="s">
        <v>112</v>
      </c>
      <c r="B2" s="52" t="s">
        <v>113</v>
      </c>
      <c r="C2" s="52" t="s">
        <v>751</v>
      </c>
      <c r="D2" s="52" t="s">
        <v>752</v>
      </c>
      <c r="E2" s="52" t="s">
        <v>113</v>
      </c>
      <c r="F2" s="52"/>
    </row>
    <row r="3" spans="1:6" ht="16">
      <c r="A3" s="52" t="s">
        <v>120</v>
      </c>
      <c r="B3" s="52" t="s">
        <v>121</v>
      </c>
      <c r="C3" s="52" t="s">
        <v>751</v>
      </c>
      <c r="D3" s="52" t="s">
        <v>753</v>
      </c>
      <c r="E3" s="52" t="s">
        <v>754</v>
      </c>
      <c r="F3" s="52"/>
    </row>
    <row r="4" spans="1:6" ht="16">
      <c r="A4" s="52" t="s">
        <v>126</v>
      </c>
      <c r="B4" s="52" t="s">
        <v>127</v>
      </c>
      <c r="C4" s="52" t="s">
        <v>755</v>
      </c>
      <c r="D4" s="52"/>
      <c r="E4" s="52"/>
      <c r="F4" s="52" t="s">
        <v>756</v>
      </c>
    </row>
    <row r="5" spans="1:6" ht="16">
      <c r="A5" s="52" t="s">
        <v>129</v>
      </c>
      <c r="B5" s="52" t="s">
        <v>130</v>
      </c>
      <c r="C5" s="52" t="s">
        <v>751</v>
      </c>
      <c r="D5" s="52" t="s">
        <v>757</v>
      </c>
      <c r="E5" s="52" t="s">
        <v>130</v>
      </c>
      <c r="F5" s="52"/>
    </row>
    <row r="6" spans="1:6" ht="16">
      <c r="A6" s="52" t="s">
        <v>135</v>
      </c>
      <c r="B6" s="52" t="s">
        <v>136</v>
      </c>
      <c r="C6" s="52" t="s">
        <v>751</v>
      </c>
      <c r="D6" s="52" t="s">
        <v>758</v>
      </c>
      <c r="E6" s="52" t="s">
        <v>136</v>
      </c>
      <c r="F6" s="52"/>
    </row>
    <row r="7" spans="1:6" ht="32">
      <c r="A7" s="52" t="s">
        <v>139</v>
      </c>
      <c r="B7" s="52" t="s">
        <v>140</v>
      </c>
      <c r="C7" s="52" t="s">
        <v>751</v>
      </c>
      <c r="D7" s="52" t="s">
        <v>759</v>
      </c>
      <c r="E7" s="52" t="s">
        <v>760</v>
      </c>
      <c r="F7" s="52"/>
    </row>
    <row r="8" spans="1:6" ht="16">
      <c r="A8" s="52" t="s">
        <v>145</v>
      </c>
      <c r="B8" s="52" t="s">
        <v>146</v>
      </c>
      <c r="C8" s="52" t="s">
        <v>755</v>
      </c>
      <c r="D8" s="52"/>
      <c r="E8" s="52"/>
      <c r="F8" s="52" t="s">
        <v>756</v>
      </c>
    </row>
    <row r="9" spans="1:6" ht="16">
      <c r="A9" s="52" t="s">
        <v>149</v>
      </c>
      <c r="B9" s="52" t="s">
        <v>150</v>
      </c>
      <c r="C9" s="52" t="s">
        <v>755</v>
      </c>
      <c r="D9" s="52"/>
      <c r="E9" s="52"/>
      <c r="F9" s="52" t="s">
        <v>756</v>
      </c>
    </row>
    <row r="10" spans="1:6" ht="16">
      <c r="A10" s="52" t="s">
        <v>152</v>
      </c>
      <c r="B10" s="52" t="s">
        <v>153</v>
      </c>
      <c r="C10" s="52" t="s">
        <v>751</v>
      </c>
      <c r="D10" s="52" t="s">
        <v>761</v>
      </c>
      <c r="E10" s="52" t="s">
        <v>153</v>
      </c>
      <c r="F10" s="52"/>
    </row>
    <row r="11" spans="1:6" ht="16">
      <c r="A11" s="52" t="s">
        <v>159</v>
      </c>
      <c r="B11" s="52" t="s">
        <v>160</v>
      </c>
      <c r="C11" s="52" t="s">
        <v>751</v>
      </c>
      <c r="D11" s="52" t="s">
        <v>762</v>
      </c>
      <c r="E11" s="52" t="s">
        <v>160</v>
      </c>
      <c r="F11" s="52"/>
    </row>
    <row r="12" spans="1:6" ht="16">
      <c r="A12" s="52" t="s">
        <v>163</v>
      </c>
      <c r="B12" s="52" t="s">
        <v>164</v>
      </c>
      <c r="C12" s="52" t="s">
        <v>755</v>
      </c>
      <c r="D12" s="52"/>
      <c r="E12" s="52"/>
      <c r="F12" s="52" t="s">
        <v>756</v>
      </c>
    </row>
    <row r="13" spans="1:6" ht="16">
      <c r="A13" s="52" t="s">
        <v>166</v>
      </c>
      <c r="B13" s="52" t="s">
        <v>167</v>
      </c>
      <c r="C13" s="52" t="s">
        <v>751</v>
      </c>
      <c r="D13" s="52" t="s">
        <v>763</v>
      </c>
      <c r="E13" s="52" t="s">
        <v>764</v>
      </c>
      <c r="F13" s="52"/>
    </row>
    <row r="14" spans="1:6" ht="32">
      <c r="A14" s="52" t="s">
        <v>170</v>
      </c>
      <c r="B14" s="52" t="s">
        <v>171</v>
      </c>
      <c r="C14" s="52" t="s">
        <v>751</v>
      </c>
      <c r="D14" s="52" t="s">
        <v>765</v>
      </c>
      <c r="E14" s="52" t="s">
        <v>766</v>
      </c>
      <c r="F14" s="52"/>
    </row>
    <row r="15" spans="1:6" ht="16">
      <c r="A15" s="52" t="s">
        <v>174</v>
      </c>
      <c r="B15" s="52" t="s">
        <v>175</v>
      </c>
      <c r="C15" s="52" t="s">
        <v>755</v>
      </c>
      <c r="D15" s="52"/>
      <c r="E15" s="52"/>
      <c r="F15" s="52" t="s">
        <v>756</v>
      </c>
    </row>
    <row r="16" spans="1:6" ht="16">
      <c r="A16" s="52" t="s">
        <v>177</v>
      </c>
      <c r="B16" s="52" t="s">
        <v>178</v>
      </c>
      <c r="C16" s="52" t="s">
        <v>751</v>
      </c>
      <c r="D16" s="52" t="s">
        <v>767</v>
      </c>
      <c r="E16" s="52" t="s">
        <v>768</v>
      </c>
      <c r="F16" s="52"/>
    </row>
    <row r="17" spans="1:6" ht="16">
      <c r="A17" s="52" t="s">
        <v>184</v>
      </c>
      <c r="B17" s="52" t="s">
        <v>185</v>
      </c>
      <c r="C17" s="52" t="s">
        <v>751</v>
      </c>
      <c r="D17" s="52" t="s">
        <v>769</v>
      </c>
      <c r="E17" s="52" t="s">
        <v>185</v>
      </c>
      <c r="F17" s="52"/>
    </row>
    <row r="18" spans="1:6" ht="16">
      <c r="A18" s="52" t="s">
        <v>188</v>
      </c>
      <c r="B18" s="52" t="s">
        <v>189</v>
      </c>
      <c r="C18" s="52" t="s">
        <v>755</v>
      </c>
      <c r="D18" s="52"/>
      <c r="E18" s="52"/>
      <c r="F18" s="52" t="s">
        <v>756</v>
      </c>
    </row>
    <row r="19" spans="1:6" ht="16">
      <c r="A19" s="52" t="s">
        <v>191</v>
      </c>
      <c r="B19" s="52" t="s">
        <v>192</v>
      </c>
      <c r="C19" s="52" t="s">
        <v>751</v>
      </c>
      <c r="D19" s="52" t="s">
        <v>770</v>
      </c>
      <c r="E19" s="52" t="s">
        <v>192</v>
      </c>
      <c r="F19" s="52"/>
    </row>
    <row r="20" spans="1:6" ht="32">
      <c r="A20" s="52" t="s">
        <v>197</v>
      </c>
      <c r="B20" s="52" t="s">
        <v>198</v>
      </c>
      <c r="C20" s="52" t="s">
        <v>751</v>
      </c>
      <c r="D20" s="52" t="s">
        <v>771</v>
      </c>
      <c r="E20" s="52" t="s">
        <v>772</v>
      </c>
      <c r="F20" s="52"/>
    </row>
    <row r="21" spans="1:6" ht="16">
      <c r="A21" s="52" t="s">
        <v>203</v>
      </c>
      <c r="B21" s="52" t="s">
        <v>204</v>
      </c>
      <c r="C21" s="52" t="s">
        <v>751</v>
      </c>
      <c r="D21" s="52" t="s">
        <v>773</v>
      </c>
      <c r="E21" s="52" t="s">
        <v>774</v>
      </c>
      <c r="F21" s="52"/>
    </row>
    <row r="22" spans="1:6" ht="16">
      <c r="A22" s="52" t="s">
        <v>209</v>
      </c>
      <c r="B22" s="52" t="s">
        <v>210</v>
      </c>
      <c r="C22" s="52" t="s">
        <v>755</v>
      </c>
      <c r="D22" s="52"/>
      <c r="E22" s="52"/>
      <c r="F22" s="52" t="s">
        <v>756</v>
      </c>
    </row>
    <row r="23" spans="1:6" ht="16">
      <c r="A23" s="52" t="s">
        <v>212</v>
      </c>
      <c r="B23" s="52" t="s">
        <v>213</v>
      </c>
      <c r="C23" s="52" t="s">
        <v>751</v>
      </c>
      <c r="D23" s="52" t="s">
        <v>775</v>
      </c>
      <c r="E23" s="52" t="s">
        <v>776</v>
      </c>
      <c r="F23" s="52"/>
    </row>
    <row r="24" spans="1:6" ht="16">
      <c r="A24" s="52" t="s">
        <v>217</v>
      </c>
      <c r="B24" s="52" t="s">
        <v>218</v>
      </c>
      <c r="C24" s="52" t="s">
        <v>755</v>
      </c>
      <c r="D24" s="52"/>
      <c r="E24" s="52"/>
      <c r="F24" s="52" t="s">
        <v>756</v>
      </c>
    </row>
    <row r="25" spans="1:6" ht="16">
      <c r="A25" s="52" t="s">
        <v>220</v>
      </c>
      <c r="B25" s="52" t="s">
        <v>221</v>
      </c>
      <c r="C25" s="52" t="s">
        <v>751</v>
      </c>
      <c r="D25" s="52" t="s">
        <v>777</v>
      </c>
      <c r="E25" s="52" t="s">
        <v>778</v>
      </c>
      <c r="F25" s="52"/>
    </row>
    <row r="26" spans="1:6" ht="16">
      <c r="A26" s="52" t="s">
        <v>226</v>
      </c>
      <c r="B26" s="52" t="s">
        <v>227</v>
      </c>
      <c r="C26" s="52" t="s">
        <v>755</v>
      </c>
      <c r="D26" s="52"/>
      <c r="E26" s="52"/>
      <c r="F26" s="52" t="s">
        <v>756</v>
      </c>
    </row>
    <row r="27" spans="1:6" ht="16">
      <c r="A27" s="52" t="s">
        <v>229</v>
      </c>
      <c r="B27" s="52" t="s">
        <v>230</v>
      </c>
      <c r="C27" s="52" t="s">
        <v>755</v>
      </c>
      <c r="D27" s="52"/>
      <c r="E27" s="52"/>
      <c r="F27" s="52" t="s">
        <v>756</v>
      </c>
    </row>
    <row r="28" spans="1:6" ht="16">
      <c r="A28" s="52" t="s">
        <v>232</v>
      </c>
      <c r="B28" s="52" t="s">
        <v>233</v>
      </c>
      <c r="C28" s="52" t="s">
        <v>751</v>
      </c>
      <c r="D28" s="52" t="s">
        <v>779</v>
      </c>
      <c r="E28" s="52" t="s">
        <v>233</v>
      </c>
      <c r="F28" s="52"/>
    </row>
    <row r="29" spans="1:6" ht="16">
      <c r="A29" s="52" t="s">
        <v>238</v>
      </c>
      <c r="B29" s="52" t="s">
        <v>239</v>
      </c>
      <c r="C29" s="52" t="s">
        <v>751</v>
      </c>
      <c r="D29" s="52" t="s">
        <v>780</v>
      </c>
      <c r="E29" s="52" t="s">
        <v>781</v>
      </c>
      <c r="F29" s="52"/>
    </row>
    <row r="30" spans="1:6" ht="16">
      <c r="A30" s="52" t="s">
        <v>242</v>
      </c>
      <c r="B30" s="52" t="s">
        <v>243</v>
      </c>
      <c r="C30" s="52" t="s">
        <v>751</v>
      </c>
      <c r="D30" s="52" t="s">
        <v>782</v>
      </c>
      <c r="E30" s="52" t="s">
        <v>262</v>
      </c>
      <c r="F30" s="52"/>
    </row>
    <row r="31" spans="1:6" ht="16">
      <c r="A31" s="52" t="s">
        <v>248</v>
      </c>
      <c r="B31" s="52" t="s">
        <v>249</v>
      </c>
      <c r="C31" s="52" t="s">
        <v>751</v>
      </c>
      <c r="D31" s="52" t="s">
        <v>783</v>
      </c>
      <c r="E31" s="52" t="s">
        <v>249</v>
      </c>
      <c r="F31" s="52"/>
    </row>
    <row r="32" spans="1:6" ht="16">
      <c r="A32" s="52" t="s">
        <v>253</v>
      </c>
      <c r="B32" s="52" t="s">
        <v>254</v>
      </c>
      <c r="C32" s="52" t="s">
        <v>751</v>
      </c>
      <c r="D32" s="52" t="s">
        <v>784</v>
      </c>
      <c r="E32" s="52" t="s">
        <v>254</v>
      </c>
      <c r="F32" s="52"/>
    </row>
    <row r="33" spans="1:6" ht="32">
      <c r="A33" s="52" t="s">
        <v>257</v>
      </c>
      <c r="B33" s="52" t="s">
        <v>258</v>
      </c>
      <c r="C33" s="52" t="s">
        <v>751</v>
      </c>
      <c r="D33" s="52" t="s">
        <v>785</v>
      </c>
      <c r="E33" s="52" t="s">
        <v>786</v>
      </c>
      <c r="F33" s="52"/>
    </row>
    <row r="34" spans="1:6" ht="16">
      <c r="A34" s="52" t="s">
        <v>261</v>
      </c>
      <c r="B34" s="52" t="s">
        <v>262</v>
      </c>
      <c r="C34" s="52" t="s">
        <v>751</v>
      </c>
      <c r="D34" s="52" t="s">
        <v>782</v>
      </c>
      <c r="E34" s="52" t="s">
        <v>262</v>
      </c>
      <c r="F34" s="52"/>
    </row>
    <row r="35" spans="1:6" ht="16">
      <c r="A35" s="52" t="s">
        <v>264</v>
      </c>
      <c r="B35" s="52" t="s">
        <v>265</v>
      </c>
      <c r="C35" s="52" t="s">
        <v>751</v>
      </c>
      <c r="D35" s="52" t="s">
        <v>787</v>
      </c>
      <c r="E35" s="52" t="s">
        <v>788</v>
      </c>
      <c r="F35" s="52"/>
    </row>
    <row r="36" spans="1:6" ht="16">
      <c r="A36" s="52" t="s">
        <v>268</v>
      </c>
      <c r="B36" s="52" t="s">
        <v>269</v>
      </c>
      <c r="C36" s="52" t="s">
        <v>755</v>
      </c>
      <c r="D36" s="52"/>
      <c r="E36" s="52"/>
      <c r="F36" s="52" t="s">
        <v>756</v>
      </c>
    </row>
    <row r="37" spans="1:6" ht="16">
      <c r="A37" s="52" t="s">
        <v>271</v>
      </c>
      <c r="B37" s="52" t="s">
        <v>272</v>
      </c>
      <c r="C37" s="52" t="s">
        <v>751</v>
      </c>
      <c r="D37" s="52" t="s">
        <v>789</v>
      </c>
      <c r="E37" s="52" t="s">
        <v>272</v>
      </c>
      <c r="F37" s="52"/>
    </row>
    <row r="38" spans="1:6" ht="16">
      <c r="A38" s="52" t="s">
        <v>277</v>
      </c>
      <c r="B38" s="52" t="s">
        <v>278</v>
      </c>
      <c r="C38" s="52" t="s">
        <v>755</v>
      </c>
      <c r="D38" s="52"/>
      <c r="E38" s="52"/>
      <c r="F38" s="52" t="s">
        <v>756</v>
      </c>
    </row>
    <row r="39" spans="1:6" ht="16">
      <c r="A39" s="52" t="s">
        <v>280</v>
      </c>
      <c r="B39" s="52" t="s">
        <v>281</v>
      </c>
      <c r="C39" s="52" t="s">
        <v>755</v>
      </c>
      <c r="D39" s="52"/>
      <c r="E39" s="52"/>
      <c r="F39" s="52" t="s">
        <v>756</v>
      </c>
    </row>
    <row r="40" spans="1:6" ht="16">
      <c r="A40" s="52" t="s">
        <v>283</v>
      </c>
      <c r="B40" s="52" t="s">
        <v>284</v>
      </c>
      <c r="C40" s="52" t="s">
        <v>755</v>
      </c>
      <c r="D40" s="52"/>
      <c r="E40" s="52"/>
      <c r="F40" s="52" t="s">
        <v>756</v>
      </c>
    </row>
    <row r="41" spans="1:6" ht="16">
      <c r="A41" s="52" t="s">
        <v>286</v>
      </c>
      <c r="B41" s="52" t="s">
        <v>287</v>
      </c>
      <c r="C41" s="52" t="s">
        <v>751</v>
      </c>
      <c r="D41" s="52" t="s">
        <v>790</v>
      </c>
      <c r="E41" s="52" t="s">
        <v>791</v>
      </c>
      <c r="F41" s="52"/>
    </row>
    <row r="42" spans="1:6" ht="16">
      <c r="A42" s="52" t="s">
        <v>290</v>
      </c>
      <c r="B42" s="52" t="s">
        <v>291</v>
      </c>
      <c r="C42" s="52" t="s">
        <v>755</v>
      </c>
      <c r="D42" s="52"/>
      <c r="E42" s="52"/>
      <c r="F42" s="52" t="s">
        <v>756</v>
      </c>
    </row>
    <row r="43" spans="1:6" ht="32">
      <c r="A43" s="52" t="s">
        <v>293</v>
      </c>
      <c r="B43" s="52" t="s">
        <v>294</v>
      </c>
      <c r="C43" s="52" t="s">
        <v>751</v>
      </c>
      <c r="D43" s="52" t="s">
        <v>792</v>
      </c>
      <c r="E43" s="52" t="s">
        <v>793</v>
      </c>
      <c r="F43" s="52"/>
    </row>
    <row r="44" spans="1:6" ht="16">
      <c r="A44" s="52" t="s">
        <v>297</v>
      </c>
      <c r="B44" s="52" t="s">
        <v>298</v>
      </c>
      <c r="C44" s="52" t="s">
        <v>755</v>
      </c>
      <c r="D44" s="52"/>
      <c r="E44" s="52"/>
      <c r="F44" s="52" t="s">
        <v>756</v>
      </c>
    </row>
    <row r="45" spans="1:6" ht="16">
      <c r="A45" s="52" t="s">
        <v>300</v>
      </c>
      <c r="B45" s="52" t="s">
        <v>301</v>
      </c>
      <c r="C45" s="52" t="s">
        <v>755</v>
      </c>
      <c r="D45" s="52"/>
      <c r="E45" s="52"/>
      <c r="F45" s="52" t="s">
        <v>756</v>
      </c>
    </row>
    <row r="46" spans="1:6" ht="16">
      <c r="A46" s="52" t="s">
        <v>303</v>
      </c>
      <c r="B46" s="52" t="s">
        <v>304</v>
      </c>
      <c r="C46" s="52" t="s">
        <v>755</v>
      </c>
      <c r="D46" s="52"/>
      <c r="E46" s="52"/>
      <c r="F46" s="52" t="s">
        <v>756</v>
      </c>
    </row>
    <row r="47" spans="1:6" ht="16">
      <c r="A47" s="52" t="s">
        <v>306</v>
      </c>
      <c r="B47" s="52" t="s">
        <v>307</v>
      </c>
      <c r="C47" s="52" t="s">
        <v>755</v>
      </c>
      <c r="D47" s="52"/>
      <c r="E47" s="52"/>
      <c r="F47" s="52" t="s">
        <v>756</v>
      </c>
    </row>
    <row r="48" spans="1:6" ht="16">
      <c r="A48" s="52" t="s">
        <v>309</v>
      </c>
      <c r="B48" s="52" t="s">
        <v>310</v>
      </c>
      <c r="C48" s="52" t="s">
        <v>755</v>
      </c>
      <c r="D48" s="52"/>
      <c r="E48" s="52"/>
      <c r="F48" s="52" t="s">
        <v>756</v>
      </c>
    </row>
    <row r="49" spans="1:6" ht="16">
      <c r="A49" s="52" t="s">
        <v>312</v>
      </c>
      <c r="B49" s="52" t="s">
        <v>313</v>
      </c>
      <c r="C49" s="52" t="s">
        <v>755</v>
      </c>
      <c r="D49" s="52"/>
      <c r="E49" s="52"/>
      <c r="F49" s="52" t="s">
        <v>756</v>
      </c>
    </row>
    <row r="50" spans="1:6" ht="16">
      <c r="A50" s="52" t="s">
        <v>315</v>
      </c>
      <c r="B50" s="52" t="s">
        <v>316</v>
      </c>
      <c r="C50" s="52" t="s">
        <v>755</v>
      </c>
      <c r="D50" s="52"/>
      <c r="E50" s="52"/>
      <c r="F50" s="52" t="s">
        <v>756</v>
      </c>
    </row>
    <row r="51" spans="1:6" ht="16">
      <c r="A51" s="52" t="s">
        <v>318</v>
      </c>
      <c r="B51" s="52" t="s">
        <v>319</v>
      </c>
      <c r="C51" s="52" t="s">
        <v>755</v>
      </c>
      <c r="D51" s="52"/>
      <c r="E51" s="52"/>
      <c r="F51" s="52" t="s">
        <v>756</v>
      </c>
    </row>
    <row r="52" spans="1:6" ht="16">
      <c r="A52" s="52" t="s">
        <v>321</v>
      </c>
      <c r="B52" s="52" t="s">
        <v>322</v>
      </c>
      <c r="C52" s="52" t="s">
        <v>751</v>
      </c>
      <c r="D52" s="52" t="s">
        <v>794</v>
      </c>
      <c r="E52" s="52" t="s">
        <v>795</v>
      </c>
      <c r="F52" s="52"/>
    </row>
    <row r="53" spans="1:6" ht="16">
      <c r="A53" s="52" t="s">
        <v>327</v>
      </c>
      <c r="B53" s="52" t="s">
        <v>328</v>
      </c>
      <c r="C53" s="52" t="s">
        <v>755</v>
      </c>
      <c r="D53" s="52"/>
      <c r="E53" s="52"/>
      <c r="F53" s="52" t="s">
        <v>756</v>
      </c>
    </row>
    <row r="54" spans="1:6" ht="32">
      <c r="A54" s="52" t="s">
        <v>331</v>
      </c>
      <c r="B54" s="52" t="s">
        <v>332</v>
      </c>
      <c r="C54" s="52" t="s">
        <v>751</v>
      </c>
      <c r="D54" s="52" t="s">
        <v>796</v>
      </c>
      <c r="E54" s="52" t="s">
        <v>797</v>
      </c>
      <c r="F54" s="52"/>
    </row>
    <row r="55" spans="1:6" ht="32">
      <c r="A55" s="52" t="s">
        <v>336</v>
      </c>
      <c r="B55" s="52" t="s">
        <v>337</v>
      </c>
      <c r="C55" s="52" t="s">
        <v>751</v>
      </c>
      <c r="D55" s="52" t="s">
        <v>798</v>
      </c>
      <c r="E55" s="52" t="s">
        <v>799</v>
      </c>
      <c r="F55" s="52"/>
    </row>
    <row r="56" spans="1:6" ht="16">
      <c r="A56" s="52" t="s">
        <v>342</v>
      </c>
      <c r="B56" s="52" t="s">
        <v>343</v>
      </c>
      <c r="C56" s="52" t="s">
        <v>751</v>
      </c>
      <c r="D56" s="52" t="s">
        <v>800</v>
      </c>
      <c r="E56" s="52" t="s">
        <v>343</v>
      </c>
      <c r="F56" s="52"/>
    </row>
    <row r="57" spans="1:6" ht="32">
      <c r="A57" s="52" t="s">
        <v>346</v>
      </c>
      <c r="B57" s="52" t="s">
        <v>347</v>
      </c>
      <c r="C57" s="52" t="s">
        <v>751</v>
      </c>
      <c r="D57" s="52" t="s">
        <v>801</v>
      </c>
      <c r="E57" s="52" t="s">
        <v>802</v>
      </c>
      <c r="F57" s="52"/>
    </row>
    <row r="58" spans="1:6" ht="16">
      <c r="A58" s="52" t="s">
        <v>352</v>
      </c>
      <c r="B58" s="52" t="s">
        <v>353</v>
      </c>
      <c r="C58" s="52" t="s">
        <v>755</v>
      </c>
      <c r="D58" s="52"/>
      <c r="E58" s="52"/>
      <c r="F58" s="52" t="s">
        <v>756</v>
      </c>
    </row>
    <row r="59" spans="1:6" ht="16">
      <c r="A59" s="52" t="s">
        <v>355</v>
      </c>
      <c r="B59" s="52" t="s">
        <v>356</v>
      </c>
      <c r="C59" s="52" t="s">
        <v>751</v>
      </c>
      <c r="D59" s="52" t="s">
        <v>803</v>
      </c>
      <c r="E59" s="52" t="s">
        <v>804</v>
      </c>
      <c r="F59" s="52"/>
    </row>
    <row r="60" spans="1:6" ht="16">
      <c r="A60" s="52" t="s">
        <v>359</v>
      </c>
      <c r="B60" s="52" t="s">
        <v>360</v>
      </c>
      <c r="C60" s="52" t="s">
        <v>755</v>
      </c>
      <c r="D60" s="52"/>
      <c r="E60" s="52"/>
      <c r="F60" s="52" t="s">
        <v>756</v>
      </c>
    </row>
    <row r="61" spans="1:6" ht="16">
      <c r="A61" s="52" t="s">
        <v>362</v>
      </c>
      <c r="B61" s="52" t="s">
        <v>363</v>
      </c>
      <c r="C61" s="52" t="s">
        <v>755</v>
      </c>
      <c r="D61" s="52"/>
      <c r="E61" s="52"/>
      <c r="F61" s="52" t="s">
        <v>756</v>
      </c>
    </row>
    <row r="62" spans="1:6" ht="16">
      <c r="A62" s="52" t="s">
        <v>365</v>
      </c>
      <c r="B62" s="52" t="s">
        <v>366</v>
      </c>
      <c r="C62" s="52" t="s">
        <v>755</v>
      </c>
      <c r="D62" s="52"/>
      <c r="E62" s="52"/>
      <c r="F62" s="52" t="s">
        <v>756</v>
      </c>
    </row>
    <row r="63" spans="1:6" ht="16">
      <c r="A63" s="52" t="s">
        <v>368</v>
      </c>
      <c r="B63" s="52" t="s">
        <v>369</v>
      </c>
      <c r="C63" s="52" t="s">
        <v>755</v>
      </c>
      <c r="D63" s="52"/>
      <c r="E63" s="52"/>
      <c r="F63" s="52" t="s">
        <v>756</v>
      </c>
    </row>
    <row r="64" spans="1:6" ht="16">
      <c r="A64" s="52" t="s">
        <v>371</v>
      </c>
      <c r="B64" s="52" t="s">
        <v>372</v>
      </c>
      <c r="C64" s="52" t="s">
        <v>751</v>
      </c>
      <c r="D64" s="52" t="s">
        <v>805</v>
      </c>
      <c r="E64" s="52" t="s">
        <v>806</v>
      </c>
      <c r="F64" s="52"/>
    </row>
    <row r="65" spans="1:6" ht="16">
      <c r="A65" s="52" t="s">
        <v>376</v>
      </c>
      <c r="B65" s="52" t="s">
        <v>377</v>
      </c>
      <c r="C65" s="52" t="s">
        <v>751</v>
      </c>
      <c r="D65" s="52" t="s">
        <v>807</v>
      </c>
      <c r="E65" s="52" t="s">
        <v>808</v>
      </c>
      <c r="F65" s="52"/>
    </row>
    <row r="66" spans="1:6" ht="16">
      <c r="A66" s="52" t="s">
        <v>382</v>
      </c>
      <c r="B66" s="52" t="s">
        <v>383</v>
      </c>
      <c r="C66" s="52" t="s">
        <v>755</v>
      </c>
      <c r="D66" s="52"/>
      <c r="E66" s="52"/>
      <c r="F66" s="52" t="s">
        <v>756</v>
      </c>
    </row>
    <row r="67" spans="1:6" ht="16">
      <c r="A67" s="52" t="s">
        <v>385</v>
      </c>
      <c r="B67" s="52" t="s">
        <v>386</v>
      </c>
      <c r="C67" s="52" t="s">
        <v>755</v>
      </c>
      <c r="D67" s="52"/>
      <c r="E67" s="52"/>
      <c r="F67" s="52" t="s">
        <v>756</v>
      </c>
    </row>
    <row r="68" spans="1:6" ht="16">
      <c r="A68" s="52" t="s">
        <v>388</v>
      </c>
      <c r="B68" s="52" t="s">
        <v>389</v>
      </c>
      <c r="C68" s="52" t="s">
        <v>751</v>
      </c>
      <c r="D68" s="52" t="s">
        <v>805</v>
      </c>
      <c r="E68" s="52" t="s">
        <v>806</v>
      </c>
      <c r="F68" s="52"/>
    </row>
    <row r="69" spans="1:6" ht="16">
      <c r="A69" s="52" t="s">
        <v>391</v>
      </c>
      <c r="B69" s="52" t="s">
        <v>392</v>
      </c>
      <c r="C69" s="52" t="s">
        <v>755</v>
      </c>
      <c r="D69" s="52"/>
      <c r="E69" s="52"/>
      <c r="F69" s="52" t="s">
        <v>756</v>
      </c>
    </row>
    <row r="70" spans="1:6" ht="32">
      <c r="A70" s="52" t="s">
        <v>394</v>
      </c>
      <c r="B70" s="52" t="s">
        <v>395</v>
      </c>
      <c r="C70" s="52" t="s">
        <v>751</v>
      </c>
      <c r="D70" s="52" t="s">
        <v>809</v>
      </c>
      <c r="E70" s="52" t="s">
        <v>810</v>
      </c>
      <c r="F70" s="52"/>
    </row>
    <row r="71" spans="1:6" ht="16">
      <c r="A71" s="52" t="s">
        <v>401</v>
      </c>
      <c r="B71" s="52" t="s">
        <v>402</v>
      </c>
      <c r="C71" s="52" t="s">
        <v>755</v>
      </c>
      <c r="D71" s="52"/>
      <c r="E71" s="52"/>
      <c r="F71" s="52" t="s">
        <v>756</v>
      </c>
    </row>
    <row r="72" spans="1:6" ht="16">
      <c r="A72" s="52" t="s">
        <v>404</v>
      </c>
      <c r="B72" s="52" t="s">
        <v>405</v>
      </c>
      <c r="C72" s="52" t="s">
        <v>751</v>
      </c>
      <c r="D72" s="52" t="s">
        <v>811</v>
      </c>
      <c r="E72" s="52" t="s">
        <v>812</v>
      </c>
      <c r="F72" s="52"/>
    </row>
    <row r="73" spans="1:6" ht="16">
      <c r="A73" s="52" t="s">
        <v>409</v>
      </c>
      <c r="B73" s="52" t="s">
        <v>410</v>
      </c>
      <c r="C73" s="52" t="s">
        <v>751</v>
      </c>
      <c r="D73" s="52" t="s">
        <v>813</v>
      </c>
      <c r="E73" s="52" t="s">
        <v>814</v>
      </c>
      <c r="F73" s="52"/>
    </row>
    <row r="74" spans="1:6" ht="16">
      <c r="A74" s="52" t="s">
        <v>414</v>
      </c>
      <c r="B74" s="52" t="s">
        <v>415</v>
      </c>
      <c r="C74" s="52" t="s">
        <v>751</v>
      </c>
      <c r="D74" s="52" t="s">
        <v>815</v>
      </c>
      <c r="E74" s="52" t="s">
        <v>816</v>
      </c>
      <c r="F74" s="52"/>
    </row>
    <row r="75" spans="1:6" ht="16">
      <c r="A75" s="52" t="s">
        <v>420</v>
      </c>
      <c r="B75" s="52" t="s">
        <v>421</v>
      </c>
      <c r="C75" s="52" t="s">
        <v>755</v>
      </c>
      <c r="D75" s="52"/>
      <c r="E75" s="52"/>
      <c r="F75" s="52" t="s">
        <v>756</v>
      </c>
    </row>
    <row r="76" spans="1:6" ht="32">
      <c r="A76" s="52" t="s">
        <v>423</v>
      </c>
      <c r="B76" s="52" t="s">
        <v>424</v>
      </c>
      <c r="C76" s="52" t="s">
        <v>751</v>
      </c>
      <c r="D76" s="52" t="s">
        <v>817</v>
      </c>
      <c r="E76" s="52" t="s">
        <v>818</v>
      </c>
      <c r="F76" s="52"/>
    </row>
    <row r="77" spans="1:6" ht="16">
      <c r="A77" s="52" t="s">
        <v>428</v>
      </c>
      <c r="B77" s="52" t="s">
        <v>429</v>
      </c>
      <c r="C77" s="52" t="s">
        <v>751</v>
      </c>
      <c r="D77" s="52" t="s">
        <v>819</v>
      </c>
      <c r="E77" s="52" t="s">
        <v>820</v>
      </c>
      <c r="F77" s="52"/>
    </row>
    <row r="78" spans="1:6" ht="32">
      <c r="A78" s="52" t="s">
        <v>433</v>
      </c>
      <c r="B78" s="52" t="s">
        <v>434</v>
      </c>
      <c r="C78" s="52" t="s">
        <v>751</v>
      </c>
      <c r="D78" s="52" t="s">
        <v>821</v>
      </c>
      <c r="E78" s="52" t="s">
        <v>822</v>
      </c>
      <c r="F78" s="52"/>
    </row>
    <row r="79" spans="1:6" ht="16">
      <c r="A79" s="52" t="s">
        <v>440</v>
      </c>
      <c r="B79" s="52" t="s">
        <v>441</v>
      </c>
      <c r="C79" s="52" t="s">
        <v>755</v>
      </c>
      <c r="D79" s="52"/>
      <c r="E79" s="52"/>
      <c r="F79" s="52" t="s">
        <v>756</v>
      </c>
    </row>
    <row r="80" spans="1:6" ht="16">
      <c r="A80" s="52" t="s">
        <v>443</v>
      </c>
      <c r="B80" s="52" t="s">
        <v>444</v>
      </c>
      <c r="C80" s="52" t="s">
        <v>755</v>
      </c>
      <c r="D80" s="52"/>
      <c r="E80" s="52"/>
      <c r="F80" s="52" t="s">
        <v>756</v>
      </c>
    </row>
    <row r="81" spans="1:6" ht="16">
      <c r="A81" s="52" t="s">
        <v>446</v>
      </c>
      <c r="B81" s="52" t="s">
        <v>447</v>
      </c>
      <c r="C81" s="52" t="s">
        <v>751</v>
      </c>
      <c r="D81" s="52" t="s">
        <v>823</v>
      </c>
      <c r="E81" s="52" t="s">
        <v>447</v>
      </c>
      <c r="F81" s="52"/>
    </row>
    <row r="82" spans="1:6" ht="16">
      <c r="A82" s="52" t="s">
        <v>450</v>
      </c>
      <c r="B82" s="52" t="s">
        <v>451</v>
      </c>
      <c r="C82" s="52" t="s">
        <v>751</v>
      </c>
      <c r="D82" s="52" t="s">
        <v>824</v>
      </c>
      <c r="E82" s="52" t="s">
        <v>825</v>
      </c>
      <c r="F82" s="52"/>
    </row>
    <row r="83" spans="1:6" ht="16">
      <c r="A83" s="52" t="s">
        <v>456</v>
      </c>
      <c r="B83" s="52" t="s">
        <v>457</v>
      </c>
      <c r="C83" s="52" t="s">
        <v>755</v>
      </c>
      <c r="D83" s="52"/>
      <c r="E83" s="52"/>
      <c r="F83" s="52" t="s">
        <v>756</v>
      </c>
    </row>
    <row r="84" spans="1:6" ht="16">
      <c r="A84" s="52" t="s">
        <v>459</v>
      </c>
      <c r="B84" s="52" t="s">
        <v>460</v>
      </c>
      <c r="C84" s="52" t="s">
        <v>755</v>
      </c>
      <c r="D84" s="52"/>
      <c r="E84" s="52"/>
      <c r="F84" s="52" t="s">
        <v>756</v>
      </c>
    </row>
    <row r="85" spans="1:6" ht="16">
      <c r="A85" s="52" t="s">
        <v>462</v>
      </c>
      <c r="B85" s="52" t="s">
        <v>463</v>
      </c>
      <c r="C85" s="52" t="s">
        <v>755</v>
      </c>
      <c r="D85" s="52"/>
      <c r="E85" s="52"/>
      <c r="F85" s="52" t="s">
        <v>756</v>
      </c>
    </row>
    <row r="86" spans="1:6" ht="16">
      <c r="A86" s="52" t="s">
        <v>465</v>
      </c>
      <c r="B86" s="52" t="s">
        <v>466</v>
      </c>
      <c r="C86" s="52" t="s">
        <v>755</v>
      </c>
      <c r="D86" s="52"/>
      <c r="E86" s="52"/>
      <c r="F86" s="52" t="s">
        <v>756</v>
      </c>
    </row>
    <row r="87" spans="1:6" ht="16">
      <c r="A87" s="52" t="s">
        <v>468</v>
      </c>
      <c r="B87" s="52" t="s">
        <v>469</v>
      </c>
      <c r="C87" s="52" t="s">
        <v>755</v>
      </c>
      <c r="D87" s="52"/>
      <c r="E87" s="52"/>
      <c r="F87" s="52" t="s">
        <v>756</v>
      </c>
    </row>
    <row r="88" spans="1:6" ht="16">
      <c r="A88" s="52" t="s">
        <v>471</v>
      </c>
      <c r="B88" s="52" t="s">
        <v>472</v>
      </c>
      <c r="C88" s="52" t="s">
        <v>755</v>
      </c>
      <c r="D88" s="52"/>
      <c r="E88" s="52"/>
      <c r="F88" s="52" t="s">
        <v>756</v>
      </c>
    </row>
    <row r="89" spans="1:6" ht="16">
      <c r="A89" s="52" t="s">
        <v>474</v>
      </c>
      <c r="B89" s="52" t="s">
        <v>475</v>
      </c>
      <c r="C89" s="52" t="s">
        <v>755</v>
      </c>
      <c r="D89" s="52"/>
      <c r="E89" s="52"/>
      <c r="F89" s="52" t="s">
        <v>756</v>
      </c>
    </row>
    <row r="90" spans="1:6" ht="16">
      <c r="A90" s="52" t="s">
        <v>477</v>
      </c>
      <c r="B90" s="52" t="s">
        <v>478</v>
      </c>
      <c r="C90" s="52" t="s">
        <v>755</v>
      </c>
      <c r="D90" s="52"/>
      <c r="E90" s="52"/>
      <c r="F90" s="52" t="s">
        <v>756</v>
      </c>
    </row>
    <row r="91" spans="1:6" ht="16">
      <c r="A91" s="52" t="s">
        <v>480</v>
      </c>
      <c r="B91" s="52" t="s">
        <v>481</v>
      </c>
      <c r="C91" s="52" t="s">
        <v>751</v>
      </c>
      <c r="D91" s="52" t="s">
        <v>826</v>
      </c>
      <c r="E91" s="52" t="s">
        <v>827</v>
      </c>
      <c r="F91" s="52"/>
    </row>
    <row r="92" spans="1:6" ht="16">
      <c r="A92" s="52" t="s">
        <v>484</v>
      </c>
      <c r="B92" s="52" t="s">
        <v>485</v>
      </c>
      <c r="C92" s="52" t="s">
        <v>755</v>
      </c>
      <c r="D92" s="52"/>
      <c r="E92" s="52"/>
      <c r="F92" s="52" t="s">
        <v>756</v>
      </c>
    </row>
    <row r="93" spans="1:6" ht="16">
      <c r="A93" s="52" t="s">
        <v>487</v>
      </c>
      <c r="B93" s="52" t="s">
        <v>488</v>
      </c>
      <c r="C93" s="52" t="s">
        <v>755</v>
      </c>
      <c r="D93" s="52"/>
      <c r="E93" s="52"/>
      <c r="F93" s="52" t="s">
        <v>756</v>
      </c>
    </row>
    <row r="94" spans="1:6" ht="16">
      <c r="A94" s="52" t="s">
        <v>490</v>
      </c>
      <c r="B94" s="52" t="s">
        <v>491</v>
      </c>
      <c r="C94" s="52" t="s">
        <v>755</v>
      </c>
      <c r="D94" s="52"/>
      <c r="E94" s="52"/>
      <c r="F94" s="52" t="s">
        <v>756</v>
      </c>
    </row>
    <row r="95" spans="1:6" ht="16">
      <c r="A95" s="52" t="s">
        <v>493</v>
      </c>
      <c r="B95" s="52" t="s">
        <v>494</v>
      </c>
      <c r="C95" s="52" t="s">
        <v>755</v>
      </c>
      <c r="D95" s="52"/>
      <c r="E95" s="52"/>
      <c r="F95" s="52" t="s">
        <v>756</v>
      </c>
    </row>
    <row r="96" spans="1:6" ht="16">
      <c r="A96" s="52" t="s">
        <v>496</v>
      </c>
      <c r="B96" s="52" t="s">
        <v>497</v>
      </c>
      <c r="C96" s="52" t="s">
        <v>755</v>
      </c>
      <c r="D96" s="52"/>
      <c r="E96" s="52"/>
      <c r="F96" s="52" t="s">
        <v>756</v>
      </c>
    </row>
    <row r="97" spans="1:6" ht="16">
      <c r="A97" s="52" t="s">
        <v>499</v>
      </c>
      <c r="B97" s="52" t="s">
        <v>500</v>
      </c>
      <c r="C97" s="52" t="s">
        <v>755</v>
      </c>
      <c r="D97" s="52"/>
      <c r="E97" s="52"/>
      <c r="F97" s="52" t="s">
        <v>756</v>
      </c>
    </row>
  </sheetData>
  <autoFilter ref="A1:F97" xr:uid="{00000000-0009-0000-0000-000006000000}"/>
  <phoneticPr fontId="2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0.안내</vt:lpstr>
      <vt:lpstr>1.문서마스터</vt:lpstr>
      <vt:lpstr>2.업무분류</vt:lpstr>
      <vt:lpstr>3.업무-문서매핑</vt:lpstr>
      <vt:lpstr>4.Facet범례</vt:lpstr>
      <vt:lpstr>5.검증룰사전</vt:lpstr>
      <vt:lpstr>6.문서매핑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승훈 이</cp:lastModifiedBy>
  <cp:revision>0</cp:revision>
  <dcterms:created xsi:type="dcterms:W3CDTF">2026-06-08T08:17:39Z</dcterms:created>
  <dcterms:modified xsi:type="dcterms:W3CDTF">2026-06-29T00:43:40Z</dcterms:modified>
  <dc:language>en-US</dc:language>
</cp:coreProperties>
</file>